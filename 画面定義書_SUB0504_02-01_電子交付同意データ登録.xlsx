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2"/>
  <fileSharing readOnlyRecommended="1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nguyenhoang.vu\Downloads\DD\"/>
    </mc:Choice>
  </mc:AlternateContent>
  <xr:revisionPtr revIDLastSave="0" documentId="13_ncr:1_{5D77E380-2C3B-40D0-BD34-8DA15763E161}" xr6:coauthVersionLast="36" xr6:coauthVersionMax="47" xr10:uidLastSave="{00000000-0000-0000-0000-000000000000}"/>
  <bookViews>
    <workbookView xWindow="-120" yWindow="-120" windowWidth="29040" windowHeight="15720" tabRatio="812" activeTab="8" xr2:uid="{00000000-000D-0000-FFFF-FFFF00000000}"/>
  </bookViews>
  <sheets>
    <sheet name="表紙" sheetId="2" r:id="rId1"/>
    <sheet name="変更履歴" sheetId="3" r:id="rId2"/>
    <sheet name="目次" sheetId="95" r:id="rId3"/>
    <sheet name="概要" sheetId="44" r:id="rId4"/>
    <sheet name="画面レイアウト" sheetId="11" r:id="rId5"/>
    <sheet name="画面項目定義" sheetId="93" r:id="rId6"/>
    <sheet name="Action定義" sheetId="7" r:id="rId7"/>
    <sheet name="Actionパラメータ" sheetId="43" r:id="rId8"/>
    <sheet name="SQL定義" sheetId="41" r:id="rId9"/>
    <sheet name="アップロード用テンプレート説明" sheetId="99" r:id="rId10"/>
    <sheet name="入力チェック" sheetId="97" r:id="rId11"/>
    <sheet name="リスト" sheetId="38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xlnm._FilterDatabase" localSheetId="7" hidden="1">Actionパラメータ!$A$3:$R$10</definedName>
    <definedName name="_xlnm._FilterDatabase" localSheetId="6" hidden="1">Action定義!$A$2:$P$5</definedName>
    <definedName name="_xlnm._FilterDatabase" localSheetId="8" hidden="1">[1]改訂履歴!#REF!</definedName>
    <definedName name="_xlnm._FilterDatabase" localSheetId="10" hidden="1">[1]改訂履歴!#REF!</definedName>
    <definedName name="_xlnm._FilterDatabase" localSheetId="3" hidden="1">[1]改訂履歴!#REF!</definedName>
    <definedName name="_xlnm._FilterDatabase" localSheetId="5" hidden="1">画面項目定義!$A$3:$AF$23</definedName>
    <definedName name="_xlnm._FilterDatabase" localSheetId="2" hidden="1">[1]改訂履歴!#REF!</definedName>
    <definedName name="_xlnm._FilterDatabase" hidden="1">[1]改訂履歴!#REF!</definedName>
    <definedName name="Access_Button" hidden="1">"外証デー他項目管理__テーブル項目説明原紙_List"</definedName>
    <definedName name="AccessDatabase" hidden="1">"C:\WINNT\Profiles\gotanda\ﾃﾞｽｸﾄｯﾌﾟ\自動生成\外証デー他項目管理 .mdb"</definedName>
    <definedName name="C_001_A003" localSheetId="9">#REF!</definedName>
    <definedName name="C_001_A003">#REF!</definedName>
    <definedName name="C_001_A004" localSheetId="9">#REF!</definedName>
    <definedName name="C_001_A004">#REF!</definedName>
    <definedName name="C_001_A006" localSheetId="9">#REF!</definedName>
    <definedName name="C_001_A006">#REF!</definedName>
    <definedName name="C_001_B001" localSheetId="9">#REF!</definedName>
    <definedName name="C_001_B001">#REF!</definedName>
    <definedName name="DB_BLOCK_SIZE" localSheetId="9">#REF!</definedName>
    <definedName name="DB_BLOCK_SIZE">#REF!</definedName>
    <definedName name="DB_TYPE">[2]各種データ!$A$2:$A$6</definedName>
    <definedName name="DBMS" localSheetId="9">[3]マスタ!$B$3:$B$5</definedName>
    <definedName name="DBMS">[4]マスタ!$B$3:$B$5</definedName>
    <definedName name="DB名" localSheetId="9">[3]マスタ!$D$3:$D$11</definedName>
    <definedName name="DB名">[4]マスタ!$D$3:$D$11</definedName>
    <definedName name="EDELIVE_AGREEMENT_KBN">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MAIL_BM_FLG">#REF!</definedName>
    <definedName name="MYSQL_DATA_TYPE">[2]各種データ!$D$2:$D$30</definedName>
    <definedName name="NotNull" localSheetId="9">#REF!</definedName>
    <definedName name="NotNull" localSheetId="10">#REF!</definedName>
    <definedName name="NotNull">#REF!</definedName>
    <definedName name="ORACLE_DATA_TYPE">[2]各種データ!$B$2:$B$20</definedName>
    <definedName name="POSTGRESQL_DATA_TYPE">[2]各種データ!$F$2:$F$25</definedName>
    <definedName name="_xlnm.Print_Area" localSheetId="7">Actionパラメータ!$A$1:$M$28</definedName>
    <definedName name="_xlnm.Print_Area" localSheetId="8">SQL定義!$A$1:$K$81</definedName>
    <definedName name="_xlnm.Print_Area" localSheetId="9">アップロード用テンプレート説明!$A$1:$BP$31</definedName>
    <definedName name="_xlnm.Print_Area" localSheetId="10">入力チェック!$A$1:$CE$13</definedName>
    <definedName name="_xlnm.Print_Area" localSheetId="1">変更履歴!$A$1:$L$34</definedName>
    <definedName name="_xlnm.Print_Area" localSheetId="3">概要!$A$1:$P$24</definedName>
    <definedName name="_xlnm.Print_Area" localSheetId="4">画面レイアウト!$A$1:$CC$37</definedName>
    <definedName name="_xlnm.Print_Area" localSheetId="5">画面項目定義!$A$1:$Y$26</definedName>
    <definedName name="_xlnm.Print_Area" localSheetId="0">表紙!$A$1:$AY$45</definedName>
    <definedName name="_xlnm.Print_Titles" localSheetId="7">Actionパラメータ!$1:$3</definedName>
    <definedName name="_xlnm.Print_Titles" localSheetId="6">Action定義!$1:$2</definedName>
    <definedName name="_xlnm.Print_Titles" localSheetId="8">SQL定義!#REF!</definedName>
    <definedName name="_xlnm.Print_Titles" localSheetId="9">アップロード用テンプレート説明!#REF!</definedName>
    <definedName name="_xlnm.Print_Titles" localSheetId="4">画面レイアウト!#REF!</definedName>
    <definedName name="_xlnm.Print_Titles" localSheetId="5">画面項目定義!#REF!</definedName>
    <definedName name="SELECTED_DB" localSheetId="9">#REF!</definedName>
    <definedName name="SELECTED_DB">#REF!</definedName>
    <definedName name="SQLITE_DATA_TYPE">[2]各種データ!$E$2:$E$6</definedName>
    <definedName name="SQLSVR_DATA_TYPE">[2]各種データ!$C$2:$C$31</definedName>
    <definedName name="TABLE_LIST" localSheetId="9">#REF!</definedName>
    <definedName name="TABLE_LIST">#REF!</definedName>
    <definedName name="TABLE_LIST_DEF" localSheetId="9">#REF!</definedName>
    <definedName name="TABLE_LIST_DEF">#REF!</definedName>
    <definedName name="インデックス情報" localSheetId="9">#REF!</definedName>
    <definedName name="インデックス情報" localSheetId="10">#REF!</definedName>
    <definedName name="インデックス情報">#REF!</definedName>
    <definedName name="カラム情報" localSheetId="9">#REF!</definedName>
    <definedName name="カラム情報" localSheetId="10">#REF!</definedName>
    <definedName name="カラム情報">#REF!</definedName>
    <definedName name="サービス" localSheetId="9">[3]マスタ!$G$3:$G$26</definedName>
    <definedName name="サービス">[4]マスタ!$G$3:$G$26</definedName>
    <definedName name="スキーマ名" localSheetId="9">[3]マスタ!$E$3:$E$21</definedName>
    <definedName name="スキーマ名">[4]マスタ!$E$3:$E$21</definedName>
    <definedName name="スキーマ名入力" localSheetId="9">#REF!</definedName>
    <definedName name="スキーマ名入力" localSheetId="10">#REF!</definedName>
    <definedName name="スキーマ名入力">#REF!</definedName>
    <definedName name="データサイクル" localSheetId="9">[3]マスタ!$H$3:$H$6</definedName>
    <definedName name="データサイクル">[4]マスタ!$H$3:$H$6</definedName>
    <definedName name="データ型" localSheetId="9">[5]マスタ!$C$3:$C$13</definedName>
    <definedName name="データ型">[6]マスタ!$C$3:$C$8</definedName>
    <definedName name="テーブル情報" localSheetId="9">#REF!</definedName>
    <definedName name="テーブル情報" localSheetId="10">#REF!</definedName>
    <definedName name="テーブル情報">#REF!</definedName>
    <definedName name="テーブル種別" localSheetId="9">[3]マスタ!$I$3:$I$7</definedName>
    <definedName name="テーブル種別">[4]マスタ!$I$3:$I$5</definedName>
    <definedName name="入力チェック" localSheetId="9">#REF!</definedName>
    <definedName name="入力チェック">#REF!</definedName>
    <definedName name="分類" localSheetId="9">[3]マスタ!$F$3:$F$12</definedName>
    <definedName name="分類">[4]マスタ!$F$3:$F$12</definedName>
    <definedName name="別紙" hidden="1">[7]改訂履歴!#REF!</definedName>
    <definedName name="物理テーブル名入力" localSheetId="9">#REF!</definedName>
    <definedName name="物理テーブル名入力" localSheetId="10">#REF!</definedName>
    <definedName name="物理テーブル名入力">#REF!</definedName>
    <definedName name="論理テーブル名入力" localSheetId="9">#REF!</definedName>
    <definedName name="論理テーブル名入力" localSheetId="10">#REF!</definedName>
    <definedName name="論理テーブル名入力">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43" l="1"/>
  <c r="C25" i="43"/>
  <c r="C24" i="43"/>
  <c r="B18" i="43"/>
  <c r="B19" i="43" s="1"/>
  <c r="B20" i="43" s="1"/>
  <c r="C17" i="43"/>
  <c r="B12" i="43"/>
  <c r="B13" i="43" s="1"/>
  <c r="C11" i="43"/>
  <c r="C4" i="43"/>
  <c r="B25" i="93"/>
  <c r="B24" i="93"/>
  <c r="C18" i="43" l="1"/>
  <c r="B21" i="43"/>
  <c r="C20" i="43"/>
  <c r="B14" i="43"/>
  <c r="C13" i="43"/>
  <c r="C19" i="43"/>
  <c r="C12" i="43"/>
  <c r="B6" i="43"/>
  <c r="B22" i="43" l="1"/>
  <c r="C21" i="43"/>
  <c r="C14" i="43"/>
  <c r="B15" i="43"/>
  <c r="B7" i="43"/>
  <c r="B8" i="43"/>
  <c r="C8" i="43" s="1"/>
  <c r="D11" i="97"/>
  <c r="B9" i="93"/>
  <c r="B10" i="93"/>
  <c r="B11" i="93"/>
  <c r="B12" i="93"/>
  <c r="B13" i="93"/>
  <c r="B14" i="93"/>
  <c r="B15" i="93"/>
  <c r="B16" i="93"/>
  <c r="B17" i="93"/>
  <c r="B18" i="93"/>
  <c r="B19" i="93"/>
  <c r="B20" i="93"/>
  <c r="B21" i="93"/>
  <c r="B22" i="93"/>
  <c r="B23" i="93"/>
  <c r="B5" i="93"/>
  <c r="B6" i="93"/>
  <c r="B7" i="93"/>
  <c r="B8" i="93"/>
  <c r="B10" i="43" l="1"/>
  <c r="B9" i="43"/>
  <c r="C9" i="43" s="1"/>
  <c r="B16" i="43"/>
  <c r="C16" i="43" s="1"/>
  <c r="C15" i="43"/>
  <c r="B23" i="43"/>
  <c r="C22" i="43"/>
  <c r="B4" i="97"/>
  <c r="B5" i="97" s="1"/>
  <c r="B6" i="97" s="1"/>
  <c r="B7" i="97" s="1"/>
  <c r="B8" i="97" s="1"/>
  <c r="B9" i="97" s="1"/>
  <c r="B10" i="97" s="1"/>
  <c r="B11" i="97" s="1"/>
  <c r="C23" i="43" l="1"/>
  <c r="J53" i="2"/>
  <c r="C4" i="7"/>
  <c r="B4" i="7"/>
  <c r="C6" i="43" l="1"/>
  <c r="C5" i="43"/>
  <c r="C7" i="43" l="1"/>
  <c r="C10" i="43" l="1"/>
  <c r="C45" i="7" l="1"/>
  <c r="C46" i="7" s="1"/>
  <c r="B45" i="7"/>
  <c r="B46" i="7" s="1"/>
  <c r="J25" i="2" l="1"/>
  <c r="B4" i="93" l="1"/>
  <c r="J1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Takashi Kikuchi</author>
    <author>Naoya Mizukami</author>
  </authors>
  <commentList>
    <comment ref="P2" authorId="0" shapeId="0" xr:uid="{E34A7371-D16D-4A09-BF2F-8BE20E505771}">
      <text>
        <r>
          <rPr>
            <sz val="9"/>
            <color indexed="81"/>
            <rFont val="MS P ゴシック"/>
            <family val="3"/>
            <charset val="128"/>
          </rPr>
          <t xml:space="preserve">入力項目のみ記載
</t>
        </r>
      </text>
    </comment>
    <comment ref="Q2" authorId="1" shapeId="0" xr:uid="{DBF4E5FA-84FA-4AC2-9BFF-1C7D4B112CB4}">
      <text>
        <r>
          <rPr>
            <b/>
            <sz val="9"/>
            <color indexed="81"/>
            <rFont val="MS P ゴシック"/>
            <family val="3"/>
            <charset val="128"/>
          </rPr>
          <t>カンマ、小数点含まず</t>
        </r>
      </text>
    </comment>
    <comment ref="U2" authorId="1" shapeId="0" xr:uid="{D1230643-C0D2-4975-8D54-BD92AFDCAE51}">
      <text>
        <r>
          <rPr>
            <b/>
            <sz val="9"/>
            <color indexed="81"/>
            <rFont val="MS P ゴシック"/>
            <family val="3"/>
            <charset val="128"/>
          </rPr>
          <t>○：活性
×：非活性
▲：条件により、活性を設定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Yunhui Zhao</author>
  </authors>
  <commentList>
    <comment ref="O15" authorId="0" shapeId="0" xr:uid="{E3231ACD-A00B-4576-846C-A8EC071FB2B1}">
      <text>
        <r>
          <rPr>
            <b/>
            <sz val="9"/>
            <color indexed="81"/>
            <rFont val="ＭＳ Ｐゴシック"/>
            <family val="3"/>
            <charset val="128"/>
          </rPr>
          <t>〇：必須
●：条件付必須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b/>
            <sz val="9"/>
            <color indexed="81"/>
            <rFont val="ＭＳ Ｐゴシック"/>
            <family val="3"/>
            <charset val="128"/>
          </rPr>
          <t>-：なし</t>
        </r>
      </text>
    </comment>
  </commentList>
</comments>
</file>

<file path=xl/sharedStrings.xml><?xml version="1.0" encoding="utf-8"?>
<sst xmlns="http://schemas.openxmlformats.org/spreadsheetml/2006/main" count="1235" uniqueCount="500">
  <si>
    <t>Ver1.00</t>
    <phoneticPr fontId="7"/>
  </si>
  <si>
    <t>ドキュメント情報</t>
    <rPh sb="6" eb="8">
      <t>ジョウホウ</t>
    </rPh>
    <phoneticPr fontId="0"/>
  </si>
  <si>
    <t>ドキュメント名称</t>
  </si>
  <si>
    <t>作成更新日</t>
    <rPh sb="0" eb="2">
      <t>サクセイ</t>
    </rPh>
    <rPh sb="2" eb="5">
      <t>コウシンビ</t>
    </rPh>
    <phoneticPr fontId="0"/>
  </si>
  <si>
    <t>変更履歴</t>
    <rPh sb="0" eb="2">
      <t>ヘンコウ</t>
    </rPh>
    <rPh sb="2" eb="4">
      <t>リレキ</t>
    </rPh>
    <phoneticPr fontId="0"/>
  </si>
  <si>
    <t>No</t>
    <phoneticPr fontId="0"/>
  </si>
  <si>
    <t>ver</t>
  </si>
  <si>
    <t>課題管理番号</t>
    <rPh sb="0" eb="2">
      <t>カダイ</t>
    </rPh>
    <rPh sb="2" eb="6">
      <t>カンリバンゴウ</t>
    </rPh>
    <phoneticPr fontId="7"/>
  </si>
  <si>
    <t>変更日付</t>
    <rPh sb="0" eb="2">
      <t>ヘンコウ</t>
    </rPh>
    <rPh sb="2" eb="4">
      <t>ヒヅケ</t>
    </rPh>
    <phoneticPr fontId="0"/>
  </si>
  <si>
    <t>変更者</t>
  </si>
  <si>
    <t>シート名</t>
    <rPh sb="3" eb="4">
      <t>メイ</t>
    </rPh>
    <phoneticPr fontId="7"/>
  </si>
  <si>
    <t>変更内容</t>
    <rPh sb="0" eb="2">
      <t>ヘンコウ</t>
    </rPh>
    <rPh sb="2" eb="4">
      <t>ナイヨウ</t>
    </rPh>
    <phoneticPr fontId="0"/>
  </si>
  <si>
    <t>変更区分</t>
    <rPh sb="0" eb="2">
      <t>ヘンコウ</t>
    </rPh>
    <rPh sb="2" eb="4">
      <t>クブン</t>
    </rPh>
    <phoneticPr fontId="0"/>
  </si>
  <si>
    <t>承認日付</t>
    <rPh sb="0" eb="2">
      <t>ショウニン</t>
    </rPh>
    <rPh sb="2" eb="4">
      <t>ヒヅケ</t>
    </rPh>
    <phoneticPr fontId="0"/>
  </si>
  <si>
    <t>承認者</t>
    <rPh sb="0" eb="2">
      <t>ショウニン</t>
    </rPh>
    <phoneticPr fontId="7"/>
  </si>
  <si>
    <t>備考</t>
    <rPh sb="0" eb="2">
      <t>ビコウ</t>
    </rPh>
    <phoneticPr fontId="0"/>
  </si>
  <si>
    <t>0001</t>
  </si>
  <si>
    <t>1.00</t>
    <phoneticPr fontId="7"/>
  </si>
  <si>
    <t>EM003404</t>
    <phoneticPr fontId="7"/>
  </si>
  <si>
    <t>SBIFPTフック</t>
    <phoneticPr fontId="7"/>
  </si>
  <si>
    <t>全体</t>
    <phoneticPr fontId="7"/>
  </si>
  <si>
    <t>新規作成</t>
  </si>
  <si>
    <t>目次</t>
    <rPh sb="0" eb="2">
      <t>モクジ</t>
    </rPh>
    <phoneticPr fontId="0"/>
  </si>
  <si>
    <t>シート</t>
    <phoneticPr fontId="7"/>
  </si>
  <si>
    <t>要不要</t>
    <phoneticPr fontId="7"/>
  </si>
  <si>
    <t>補足（Action詳細シートの場合のアクション名称など）</t>
    <rPh sb="0" eb="2">
      <t>ホソク</t>
    </rPh>
    <rPh sb="9" eb="11">
      <t>ショウサイ</t>
    </rPh>
    <rPh sb="15" eb="17">
      <t>バアイ</t>
    </rPh>
    <rPh sb="23" eb="25">
      <t>メイショウ</t>
    </rPh>
    <phoneticPr fontId="0"/>
  </si>
  <si>
    <t>表紙</t>
  </si>
  <si>
    <t>変更履歴</t>
  </si>
  <si>
    <t>目次</t>
  </si>
  <si>
    <t>概要</t>
  </si>
  <si>
    <t>画面レイアウト</t>
  </si>
  <si>
    <t>画面項目定義</t>
  </si>
  <si>
    <t>Action定義</t>
  </si>
  <si>
    <t>Actionパラメータ</t>
  </si>
  <si>
    <t>API詳細</t>
  </si>
  <si>
    <t>不要</t>
  </si>
  <si>
    <t>共通関数詳細</t>
  </si>
  <si>
    <t>SQL定義</t>
  </si>
  <si>
    <t>ファイル項目定義(CSV出力)</t>
  </si>
  <si>
    <t>ファイル項目定義(ファイル取込)</t>
  </si>
  <si>
    <t>削除区分</t>
    <rPh sb="0" eb="4">
      <t>サクジョクブン</t>
    </rPh>
    <phoneticPr fontId="7"/>
  </si>
  <si>
    <t>課題管理番号</t>
    <rPh sb="0" eb="2">
      <t>カダイ</t>
    </rPh>
    <rPh sb="2" eb="4">
      <t>カンリ</t>
    </rPh>
    <rPh sb="4" eb="6">
      <t>バンゴウ</t>
    </rPh>
    <phoneticPr fontId="7"/>
  </si>
  <si>
    <t>変更内容</t>
    <rPh sb="0" eb="4">
      <t>ヘンコウナイヨウ</t>
    </rPh>
    <phoneticPr fontId="7"/>
  </si>
  <si>
    <t>（レビュー管理No）</t>
    <rPh sb="5" eb="7">
      <t>カンリ</t>
    </rPh>
    <phoneticPr fontId="7"/>
  </si>
  <si>
    <t>変更履歴紐づけ</t>
    <rPh sb="0" eb="4">
      <t>ヘンコウリレキ</t>
    </rPh>
    <rPh sb="4" eb="5">
      <t>ヒモ</t>
    </rPh>
    <phoneticPr fontId="7"/>
  </si>
  <si>
    <t>処理概要</t>
  </si>
  <si>
    <t>画面遷移</t>
    <rPh sb="0" eb="2">
      <t>ガメン</t>
    </rPh>
    <rPh sb="2" eb="4">
      <t>センイ</t>
    </rPh>
    <phoneticPr fontId="7"/>
  </si>
  <si>
    <t>ActionID</t>
    <phoneticPr fontId="7"/>
  </si>
  <si>
    <t>画面ID</t>
    <rPh sb="0" eb="2">
      <t>ガメン</t>
    </rPh>
    <phoneticPr fontId="7"/>
  </si>
  <si>
    <t>画面日本語名称</t>
    <rPh sb="0" eb="2">
      <t>ガメン</t>
    </rPh>
    <rPh sb="2" eb="7">
      <t>ニホンゴメイショウ</t>
    </rPh>
    <phoneticPr fontId="7"/>
  </si>
  <si>
    <t>遷移</t>
    <rPh sb="0" eb="2">
      <t>センイ</t>
    </rPh>
    <phoneticPr fontId="7"/>
  </si>
  <si>
    <t>遷移先ActionID</t>
    <rPh sb="0" eb="3">
      <t>センイサキ</t>
    </rPh>
    <phoneticPr fontId="7"/>
  </si>
  <si>
    <t>画面遷移パターン</t>
    <rPh sb="0" eb="4">
      <t>ガメンセンイ</t>
    </rPh>
    <phoneticPr fontId="7"/>
  </si>
  <si>
    <t>備考</t>
    <rPh sb="0" eb="2">
      <t>ビコウ</t>
    </rPh>
    <phoneticPr fontId="7"/>
  </si>
  <si>
    <t>遷移元</t>
    <rPh sb="0" eb="3">
      <t>センイモト</t>
    </rPh>
    <phoneticPr fontId="7"/>
  </si>
  <si>
    <t>-</t>
    <phoneticPr fontId="7"/>
  </si>
  <si>
    <t>A002</t>
  </si>
  <si>
    <t>遷移先</t>
    <rPh sb="0" eb="3">
      <t>センイサキ</t>
    </rPh>
    <phoneticPr fontId="7"/>
  </si>
  <si>
    <t>A003</t>
  </si>
  <si>
    <t>共通関数</t>
    <rPh sb="0" eb="4">
      <t>キョウツウカンスウ</t>
    </rPh>
    <phoneticPr fontId="7"/>
  </si>
  <si>
    <t>共通関数ID</t>
    <rPh sb="0" eb="4">
      <t>キョウツウカンスウ</t>
    </rPh>
    <phoneticPr fontId="7"/>
  </si>
  <si>
    <t>共通関数名称</t>
    <rPh sb="0" eb="4">
      <t>キョウツウカンスウ</t>
    </rPh>
    <rPh sb="4" eb="6">
      <t>メイショウ</t>
    </rPh>
    <phoneticPr fontId="7"/>
  </si>
  <si>
    <t>共通関数日本語名称</t>
    <rPh sb="0" eb="4">
      <t>キョウツウカンスウ</t>
    </rPh>
    <rPh sb="4" eb="9">
      <t>ニホンゴメイショウ</t>
    </rPh>
    <phoneticPr fontId="7"/>
  </si>
  <si>
    <t>参照</t>
    <rPh sb="0" eb="2">
      <t>サンショウ</t>
    </rPh>
    <phoneticPr fontId="7"/>
  </si>
  <si>
    <t>更新</t>
    <rPh sb="0" eb="2">
      <t>コウシン</t>
    </rPh>
    <phoneticPr fontId="7"/>
  </si>
  <si>
    <t>なし</t>
    <phoneticPr fontId="7"/>
  </si>
  <si>
    <t>-</t>
  </si>
  <si>
    <t>API</t>
  </si>
  <si>
    <t>APIID</t>
  </si>
  <si>
    <t>API名称</t>
    <rPh sb="3" eb="5">
      <t>メイショウ</t>
    </rPh>
    <phoneticPr fontId="7"/>
  </si>
  <si>
    <t>API日本語名称</t>
    <rPh sb="3" eb="8">
      <t>ニホンゴメイショウ</t>
    </rPh>
    <phoneticPr fontId="7"/>
  </si>
  <si>
    <t>接続先</t>
    <rPh sb="0" eb="3">
      <t>セツゾクサキ</t>
    </rPh>
    <phoneticPr fontId="7"/>
  </si>
  <si>
    <t>SQL</t>
    <phoneticPr fontId="7"/>
  </si>
  <si>
    <t>SQLID</t>
    <phoneticPr fontId="7"/>
  </si>
  <si>
    <t>SQL名称</t>
    <rPh sb="3" eb="5">
      <t>メイショウ</t>
    </rPh>
    <phoneticPr fontId="7"/>
  </si>
  <si>
    <t>スキーマ</t>
    <phoneticPr fontId="7"/>
  </si>
  <si>
    <t>テーブル名称</t>
  </si>
  <si>
    <t>登録</t>
    <rPh sb="0" eb="2">
      <t>トウロク</t>
    </rPh>
    <phoneticPr fontId="7"/>
  </si>
  <si>
    <t>削除</t>
    <rPh sb="0" eb="2">
      <t>サクジョ</t>
    </rPh>
    <phoneticPr fontId="7"/>
  </si>
  <si>
    <t>SQL001</t>
    <phoneticPr fontId="7"/>
  </si>
  <si>
    <t>CORDYS</t>
  </si>
  <si>
    <t>〇</t>
  </si>
  <si>
    <t>MEDIATE_USER_ATTRIBUTE_INFO</t>
  </si>
  <si>
    <t>SQL002</t>
  </si>
  <si>
    <t>項目名見直し対象</t>
    <rPh sb="0" eb="3">
      <t>コウモクメイ</t>
    </rPh>
    <rPh sb="3" eb="5">
      <t>ミナオ</t>
    </rPh>
    <rPh sb="6" eb="8">
      <t>タイショウ</t>
    </rPh>
    <phoneticPr fontId="7"/>
  </si>
  <si>
    <t>項目名見直し内容</t>
    <rPh sb="0" eb="3">
      <t>コウモクメイ</t>
    </rPh>
    <rPh sb="3" eb="5">
      <t>ミナオ</t>
    </rPh>
    <rPh sb="6" eb="8">
      <t>ナイヨウ</t>
    </rPh>
    <phoneticPr fontId="7"/>
  </si>
  <si>
    <t>No.</t>
  </si>
  <si>
    <t>項目名</t>
    <phoneticPr fontId="7"/>
  </si>
  <si>
    <t>ラベル</t>
    <phoneticPr fontId="7"/>
  </si>
  <si>
    <t>共通部品ID</t>
    <rPh sb="0" eb="4">
      <t>キョウツウブヒン</t>
    </rPh>
    <phoneticPr fontId="7"/>
  </si>
  <si>
    <t>ドメインID</t>
    <phoneticPr fontId="7"/>
  </si>
  <si>
    <t>コントロール</t>
    <phoneticPr fontId="7"/>
  </si>
  <si>
    <t>編集内容</t>
  </si>
  <si>
    <t>配置</t>
    <rPh sb="0" eb="2">
      <t>ハイチ</t>
    </rPh>
    <phoneticPr fontId="0"/>
  </si>
  <si>
    <t>I/O</t>
    <phoneticPr fontId="7"/>
  </si>
  <si>
    <t>入力形式/表示形式</t>
    <phoneticPr fontId="7"/>
  </si>
  <si>
    <t>固定長
可変長</t>
    <rPh sb="0" eb="3">
      <t>コテイチョウ</t>
    </rPh>
    <rPh sb="4" eb="7">
      <t>カヘンチョウ</t>
    </rPh>
    <phoneticPr fontId="0"/>
  </si>
  <si>
    <t>数値範囲</t>
    <rPh sb="0" eb="2">
      <t>スウチ</t>
    </rPh>
    <rPh sb="2" eb="4">
      <t>ハンイ</t>
    </rPh>
    <phoneticPr fontId="0"/>
  </si>
  <si>
    <t>活性</t>
    <phoneticPr fontId="7"/>
  </si>
  <si>
    <t>初期値</t>
    <phoneticPr fontId="7"/>
  </si>
  <si>
    <t>アクションID</t>
    <phoneticPr fontId="7"/>
  </si>
  <si>
    <t>備考</t>
  </si>
  <si>
    <t>項目</t>
    <rPh sb="0" eb="2">
      <t>コウモク</t>
    </rPh>
    <phoneticPr fontId="7"/>
  </si>
  <si>
    <t>上下</t>
    <rPh sb="0" eb="2">
      <t>ジョウゲ</t>
    </rPh>
    <phoneticPr fontId="0"/>
  </si>
  <si>
    <t>左右</t>
  </si>
  <si>
    <t>最小値</t>
    <rPh sb="0" eb="2">
      <t>サイショウ</t>
    </rPh>
    <rPh sb="2" eb="3">
      <t>チ</t>
    </rPh>
    <phoneticPr fontId="0"/>
  </si>
  <si>
    <t>単位</t>
    <rPh sb="0" eb="2">
      <t>タンイ</t>
    </rPh>
    <phoneticPr fontId="0"/>
  </si>
  <si>
    <t>タイトル</t>
  </si>
  <si>
    <t>ラベル</t>
  </si>
  <si>
    <t>中央</t>
  </si>
  <si>
    <t>左</t>
  </si>
  <si>
    <t>O</t>
  </si>
  <si>
    <t>-//-</t>
    <phoneticPr fontId="7"/>
  </si>
  <si>
    <t>ボタン</t>
  </si>
  <si>
    <t>I</t>
  </si>
  <si>
    <t>削除</t>
  </si>
  <si>
    <t>▲</t>
  </si>
  <si>
    <t>データグリッド</t>
  </si>
  <si>
    <t>部店コード</t>
  </si>
  <si>
    <t>テキスト</t>
  </si>
  <si>
    <t>A001</t>
  </si>
  <si>
    <t>半角英数字のみ</t>
  </si>
  <si>
    <t>口座番号</t>
  </si>
  <si>
    <t>数字のみ</t>
  </si>
  <si>
    <t>右</t>
  </si>
  <si>
    <t>半角数字と小数点</t>
  </si>
  <si>
    <t>hidden</t>
  </si>
  <si>
    <t>I/O</t>
  </si>
  <si>
    <t>アクションID</t>
  </si>
  <si>
    <t>アクション名称</t>
    <rPh sb="5" eb="7">
      <t>メイショウ</t>
    </rPh>
    <phoneticPr fontId="5"/>
  </si>
  <si>
    <t>呼出機能</t>
    <rPh sb="0" eb="2">
      <t>ヨビダシ</t>
    </rPh>
    <rPh sb="2" eb="4">
      <t>キノウ</t>
    </rPh>
    <phoneticPr fontId="7"/>
  </si>
  <si>
    <t>メッセージID</t>
  </si>
  <si>
    <t>SQL001</t>
  </si>
  <si>
    <t>A002</t>
    <phoneticPr fontId="7"/>
  </si>
  <si>
    <t>A004</t>
  </si>
  <si>
    <t>A005</t>
  </si>
  <si>
    <t>○：必須、●：条件付き必須</t>
    <phoneticPr fontId="7"/>
  </si>
  <si>
    <t>アクション名称</t>
    <rPh sb="5" eb="7">
      <t>メイショウ</t>
    </rPh>
    <phoneticPr fontId="7"/>
  </si>
  <si>
    <t>画面from</t>
    <rPh sb="0" eb="2">
      <t>ガメン</t>
    </rPh>
    <phoneticPr fontId="7"/>
  </si>
  <si>
    <t>画面to</t>
    <rPh sb="0" eb="2">
      <t>ガメン</t>
    </rPh>
    <phoneticPr fontId="7"/>
  </si>
  <si>
    <t>種別</t>
    <rPh sb="0" eb="2">
      <t>シュベツ</t>
    </rPh>
    <phoneticPr fontId="7"/>
  </si>
  <si>
    <t>必須</t>
    <rPh sb="0" eb="2">
      <t>ヒッス</t>
    </rPh>
    <phoneticPr fontId="7"/>
  </si>
  <si>
    <t>編集内容</t>
    <rPh sb="0" eb="4">
      <t>ヘンシュウナイヨウ</t>
    </rPh>
    <phoneticPr fontId="7"/>
  </si>
  <si>
    <t>呼出機能</t>
    <rPh sb="0" eb="4">
      <t>ヨビダシキノウ</t>
    </rPh>
    <phoneticPr fontId="7"/>
  </si>
  <si>
    <t>自画面</t>
  </si>
  <si>
    <t>レスポンス</t>
  </si>
  <si>
    <t>＜SQL概要＞</t>
    <rPh sb="4" eb="6">
      <t>ガイヨウ</t>
    </rPh>
    <phoneticPr fontId="7"/>
  </si>
  <si>
    <t>SQL概要</t>
    <rPh sb="3" eb="5">
      <t>ガイヨウ</t>
    </rPh>
    <phoneticPr fontId="7"/>
  </si>
  <si>
    <t>SQL仕様</t>
    <rPh sb="3" eb="5">
      <t>シヨウ</t>
    </rPh>
    <phoneticPr fontId="7"/>
  </si>
  <si>
    <t>【適用条件】</t>
    <rPh sb="1" eb="3">
      <t>テキヨウ</t>
    </rPh>
    <rPh sb="3" eb="5">
      <t>ジョウケン</t>
    </rPh>
    <phoneticPr fontId="7"/>
  </si>
  <si>
    <t>【SQL種別】</t>
    <rPh sb="4" eb="6">
      <t>シュベツ</t>
    </rPh>
    <phoneticPr fontId="7"/>
  </si>
  <si>
    <t>検索</t>
    <rPh sb="0" eb="2">
      <t>ケンサク</t>
    </rPh>
    <phoneticPr fontId="7"/>
  </si>
  <si>
    <t>【抽出件数】</t>
    <rPh sb="1" eb="3">
      <t>チュウシュツ</t>
    </rPh>
    <rPh sb="3" eb="5">
      <t>ケンスウ</t>
    </rPh>
    <phoneticPr fontId="7"/>
  </si>
  <si>
    <t>0 or 複数件</t>
    <rPh sb="5" eb="7">
      <t>フクスウ</t>
    </rPh>
    <rPh sb="7" eb="8">
      <t>ケン</t>
    </rPh>
    <phoneticPr fontId="7"/>
  </si>
  <si>
    <t>【排他獲得】</t>
    <rPh sb="1" eb="5">
      <t>ハイタカクトク</t>
    </rPh>
    <phoneticPr fontId="7"/>
  </si>
  <si>
    <t>不要</t>
    <rPh sb="0" eb="2">
      <t>フヨウ</t>
    </rPh>
    <phoneticPr fontId="7"/>
  </si>
  <si>
    <t>【テーブル】</t>
  </si>
  <si>
    <t>【備考】</t>
    <rPh sb="1" eb="3">
      <t>ビコウ</t>
    </rPh>
    <phoneticPr fontId="7"/>
  </si>
  <si>
    <t>特になし</t>
    <rPh sb="0" eb="1">
      <t>トク</t>
    </rPh>
    <phoneticPr fontId="7"/>
  </si>
  <si>
    <t>【抽出条件】</t>
  </si>
  <si>
    <t>プルダウンリストの値</t>
    <rPh sb="9" eb="10">
      <t>アタイ</t>
    </rPh>
    <phoneticPr fontId="7"/>
  </si>
  <si>
    <t>■「概要」シート</t>
    <rPh sb="2" eb="4">
      <t>ガイヨウ</t>
    </rPh>
    <phoneticPr fontId="7"/>
  </si>
  <si>
    <t>■「画面項目定義」シート</t>
    <phoneticPr fontId="7"/>
  </si>
  <si>
    <t>■「画面遷移パラメータ」シート</t>
    <phoneticPr fontId="7"/>
  </si>
  <si>
    <t>■「ファイル項目定義(CSV出力)」シート</t>
    <phoneticPr fontId="7"/>
  </si>
  <si>
    <t>■「ファイル項目定義(ファイル取込)」シート</t>
    <rPh sb="15" eb="17">
      <t>トリコミ</t>
    </rPh>
    <phoneticPr fontId="7"/>
  </si>
  <si>
    <t>■「API詳細」「共通関数詳細」シート</t>
    <rPh sb="5" eb="7">
      <t>ショウサイ</t>
    </rPh>
    <rPh sb="9" eb="11">
      <t>キョウツウ</t>
    </rPh>
    <rPh sb="11" eb="13">
      <t>カンスウ</t>
    </rPh>
    <rPh sb="13" eb="15">
      <t>ショウサイ</t>
    </rPh>
    <phoneticPr fontId="7"/>
  </si>
  <si>
    <t>〇画面遷移</t>
    <rPh sb="1" eb="3">
      <t>ガメン</t>
    </rPh>
    <rPh sb="3" eb="5">
      <t>センイ</t>
    </rPh>
    <phoneticPr fontId="7"/>
  </si>
  <si>
    <t>〇コントロール</t>
    <phoneticPr fontId="7"/>
  </si>
  <si>
    <t>〇型</t>
    <rPh sb="1" eb="2">
      <t>カタ</t>
    </rPh>
    <phoneticPr fontId="7"/>
  </si>
  <si>
    <t>〇入力形式</t>
    <phoneticPr fontId="7"/>
  </si>
  <si>
    <t>〇入出力</t>
    <rPh sb="1" eb="4">
      <t>ニュウシュツリョク</t>
    </rPh>
    <phoneticPr fontId="7"/>
  </si>
  <si>
    <t>項番</t>
    <rPh sb="0" eb="1">
      <t>コウ</t>
    </rPh>
    <rPh sb="1" eb="2">
      <t>バン</t>
    </rPh>
    <phoneticPr fontId="7"/>
  </si>
  <si>
    <t>値</t>
    <rPh sb="0" eb="1">
      <t>アタイ</t>
    </rPh>
    <phoneticPr fontId="7"/>
  </si>
  <si>
    <t>YYYY-MM-DD</t>
    <phoneticPr fontId="7"/>
  </si>
  <si>
    <t>IN</t>
    <phoneticPr fontId="7"/>
  </si>
  <si>
    <t>変更</t>
    <rPh sb="0" eb="2">
      <t>ヘンコウ</t>
    </rPh>
    <phoneticPr fontId="7"/>
  </si>
  <si>
    <t>YYYY/MM/DD</t>
    <phoneticPr fontId="7"/>
  </si>
  <si>
    <t>OUT</t>
    <phoneticPr fontId="7"/>
  </si>
  <si>
    <t>テキストボックス</t>
  </si>
  <si>
    <t>テキストエリア</t>
  </si>
  <si>
    <t>〇API/共通関数/SQL機能</t>
    <rPh sb="5" eb="9">
      <t>キョウツウカンスウ</t>
    </rPh>
    <rPh sb="13" eb="15">
      <t>キノウ</t>
    </rPh>
    <phoneticPr fontId="7"/>
  </si>
  <si>
    <t>チェックボックス</t>
  </si>
  <si>
    <t>数字と小数点</t>
  </si>
  <si>
    <t>〇必須</t>
    <phoneticPr fontId="7"/>
  </si>
  <si>
    <t>ラジオボタン</t>
  </si>
  <si>
    <t>ドロップダウンリスト</t>
  </si>
  <si>
    <t>数字とマイナス記号と小数点</t>
  </si>
  <si>
    <t>ドロップダウンリスト（複数選択）</t>
    <rPh sb="11" eb="15">
      <t>フクスウセンタク</t>
    </rPh>
    <phoneticPr fontId="7"/>
  </si>
  <si>
    <t>英字のみ</t>
  </si>
  <si>
    <t>●</t>
  </si>
  <si>
    <t>データグリッド</t>
    <phoneticPr fontId="7"/>
  </si>
  <si>
    <t>日付コントロール</t>
  </si>
  <si>
    <t>英字（大文字）のみ</t>
  </si>
  <si>
    <t>データグリッド（複数選択）</t>
    <rPh sb="8" eb="12">
      <t>フクスウセンタク</t>
    </rPh>
    <phoneticPr fontId="7"/>
  </si>
  <si>
    <t>英字（小文字）のみ</t>
  </si>
  <si>
    <t>英数字のみ</t>
  </si>
  <si>
    <t>英数字（大文字）のみ</t>
  </si>
  <si>
    <t>英数字（小文字）のみ</t>
  </si>
  <si>
    <t>リンク</t>
    <phoneticPr fontId="7"/>
  </si>
  <si>
    <t>英数字記号のみ</t>
  </si>
  <si>
    <t>イメージ</t>
    <phoneticPr fontId="7"/>
  </si>
  <si>
    <t>英数字記号（'"*%|以外）のみ</t>
  </si>
  <si>
    <t>ラジオ</t>
  </si>
  <si>
    <t>0～9のみ</t>
  </si>
  <si>
    <t>ひらがなのみ</t>
  </si>
  <si>
    <t>〇上下</t>
    <phoneticPr fontId="7"/>
  </si>
  <si>
    <t>カタカナのみ</t>
  </si>
  <si>
    <t>〇Valited</t>
    <phoneticPr fontId="7"/>
  </si>
  <si>
    <t>全角のみ</t>
  </si>
  <si>
    <t>上</t>
  </si>
  <si>
    <t>全角半角</t>
    <rPh sb="2" eb="4">
      <t>ハンカク</t>
    </rPh>
    <phoneticPr fontId="7"/>
  </si>
  <si>
    <t>E-mailアドレス</t>
  </si>
  <si>
    <t>下</t>
  </si>
  <si>
    <t>*%|以外
全て
E-mailアドレス
郵便番号
全角('*%|以外)のみ</t>
    <phoneticPr fontId="7"/>
  </si>
  <si>
    <t>画面構成項目（ボタン等）</t>
  </si>
  <si>
    <t>YYYYMMDD HH:MM</t>
    <phoneticPr fontId="7"/>
  </si>
  <si>
    <t>〇左右</t>
    <phoneticPr fontId="7"/>
  </si>
  <si>
    <t>ON/OFF</t>
    <phoneticPr fontId="7"/>
  </si>
  <si>
    <t>半角英数字、カンマのみ</t>
    <phoneticPr fontId="7"/>
  </si>
  <si>
    <t>YYYYMMDD HH:MM:SS</t>
    <phoneticPr fontId="7"/>
  </si>
  <si>
    <t>YYYY/MM</t>
    <phoneticPr fontId="7"/>
  </si>
  <si>
    <t>〇I/O</t>
    <phoneticPr fontId="7"/>
  </si>
  <si>
    <t>〇フォーマット</t>
    <phoneticPr fontId="7"/>
  </si>
  <si>
    <t>###,##0</t>
    <phoneticPr fontId="7"/>
  </si>
  <si>
    <t>#####0</t>
    <phoneticPr fontId="7"/>
  </si>
  <si>
    <t>YYYYMMDD HH:MM</t>
  </si>
  <si>
    <t>〇入力形式/表示形式</t>
    <phoneticPr fontId="7"/>
  </si>
  <si>
    <t>〇画面遷移パラメータ種別</t>
    <rPh sb="1" eb="5">
      <t>ガメンセンイ</t>
    </rPh>
    <rPh sb="10" eb="12">
      <t>シュベツ</t>
    </rPh>
    <phoneticPr fontId="7"/>
  </si>
  <si>
    <t>リクエスト</t>
    <phoneticPr fontId="7"/>
  </si>
  <si>
    <t>レスポンス</t>
    <phoneticPr fontId="7"/>
  </si>
  <si>
    <t>〇画面遷移パターン</t>
    <rPh sb="1" eb="3">
      <t>ガメン</t>
    </rPh>
    <rPh sb="3" eb="5">
      <t>センイ</t>
    </rPh>
    <phoneticPr fontId="7"/>
  </si>
  <si>
    <t>〇単位</t>
    <rPh sb="1" eb="3">
      <t>タンイ</t>
    </rPh>
    <phoneticPr fontId="7"/>
  </si>
  <si>
    <t>自画面遷移</t>
    <phoneticPr fontId="7"/>
  </si>
  <si>
    <t>円</t>
  </si>
  <si>
    <t>一覧画面遷移</t>
    <phoneticPr fontId="7"/>
  </si>
  <si>
    <t>ドル</t>
  </si>
  <si>
    <t>詳細画面遷移</t>
    <phoneticPr fontId="7"/>
  </si>
  <si>
    <t>株</t>
  </si>
  <si>
    <t>詳細ポップアップ遷移</t>
    <phoneticPr fontId="7"/>
  </si>
  <si>
    <t>USD</t>
  </si>
  <si>
    <t>画面内タブ指定遷移</t>
    <rPh sb="5" eb="7">
      <t>シテイ</t>
    </rPh>
    <phoneticPr fontId="7"/>
  </si>
  <si>
    <t>％</t>
  </si>
  <si>
    <t>歳</t>
    <phoneticPr fontId="7"/>
  </si>
  <si>
    <t>〇活性</t>
    <phoneticPr fontId="7"/>
  </si>
  <si>
    <t>×</t>
  </si>
  <si>
    <t>〇固定長、可変長</t>
    <rPh sb="1" eb="4">
      <t>コテイチョウ</t>
    </rPh>
    <rPh sb="5" eb="8">
      <t>カヘンチョウ</t>
    </rPh>
    <phoneticPr fontId="7"/>
  </si>
  <si>
    <t>固定</t>
    <rPh sb="0" eb="2">
      <t>コテイ</t>
    </rPh>
    <phoneticPr fontId="7"/>
  </si>
  <si>
    <t>可変</t>
    <rPh sb="0" eb="2">
      <t>カヘン</t>
    </rPh>
    <phoneticPr fontId="7"/>
  </si>
  <si>
    <t>一覧画面遷移</t>
  </si>
  <si>
    <t>最大値</t>
  </si>
  <si>
    <t>表示最大桁数</t>
  </si>
  <si>
    <t>No</t>
    <phoneticPr fontId="4"/>
  </si>
  <si>
    <t>項目名</t>
    <rPh sb="0" eb="2">
      <t>コウモク</t>
    </rPh>
    <rPh sb="2" eb="3">
      <t>メイ</t>
    </rPh>
    <phoneticPr fontId="0"/>
  </si>
  <si>
    <t>チェック</t>
  </si>
  <si>
    <t>メッセージID</t>
    <phoneticPr fontId="0"/>
  </si>
  <si>
    <t>メッセージ</t>
    <phoneticPr fontId="0"/>
  </si>
  <si>
    <t>第１引数</t>
    <rPh sb="0" eb="1">
      <t>ダイ</t>
    </rPh>
    <rPh sb="2" eb="4">
      <t>ヒキスウ</t>
    </rPh>
    <phoneticPr fontId="7"/>
  </si>
  <si>
    <t>第２引数</t>
    <rPh sb="0" eb="1">
      <t>ダイ</t>
    </rPh>
    <rPh sb="2" eb="4">
      <t>ヒキスウ</t>
    </rPh>
    <phoneticPr fontId="7"/>
  </si>
  <si>
    <t>第３引数</t>
    <rPh sb="0" eb="1">
      <t>ダイ</t>
    </rPh>
    <rPh sb="2" eb="4">
      <t>ヒキスウ</t>
    </rPh>
    <phoneticPr fontId="7"/>
  </si>
  <si>
    <t>第４引数</t>
    <rPh sb="0" eb="1">
      <t>ダイ</t>
    </rPh>
    <rPh sb="2" eb="4">
      <t>ヒキスウ</t>
    </rPh>
    <phoneticPr fontId="7"/>
  </si>
  <si>
    <t>備考</t>
    <phoneticPr fontId="0"/>
  </si>
  <si>
    <t>errors.required</t>
  </si>
  <si>
    <t>{0}を入力してください。</t>
  </si>
  <si>
    <t>errors.maxSize</t>
  </si>
  <si>
    <t>3</t>
  </si>
  <si>
    <t>電子交付同意データ登録</t>
  </si>
  <si>
    <t>タイトルエリア</t>
  </si>
  <si>
    <t>検索条件部</t>
  </si>
  <si>
    <t>電子交付同意データ一覧</t>
  </si>
  <si>
    <t>確認</t>
  </si>
  <si>
    <t>登録</t>
  </si>
  <si>
    <t>NGダウンロード</t>
  </si>
  <si>
    <t>クリア</t>
  </si>
  <si>
    <t>ファイル選択</t>
  </si>
  <si>
    <t>CS001</t>
  </si>
  <si>
    <t>CS025</t>
  </si>
  <si>
    <t>設定元</t>
  </si>
  <si>
    <t>部店</t>
  </si>
  <si>
    <t>電子交付承諾日付</t>
  </si>
  <si>
    <t>電子交付承諾区分</t>
  </si>
  <si>
    <t>チェック結果</t>
  </si>
  <si>
    <t>電子交付同意データ一覧.口座番号</t>
  </si>
  <si>
    <t>電子交付同意データ一覧.チェック結果</t>
  </si>
  <si>
    <t>電子交付同意データ一覧.電子交付承諾区分</t>
  </si>
  <si>
    <t>電子交付同意データ一覧.電子交付承諾日付</t>
  </si>
  <si>
    <t>電子交付同意データ一覧.部店</t>
  </si>
  <si>
    <t>YYYY/MM/DD</t>
  </si>
  <si>
    <t>ファイル選択押下</t>
  </si>
  <si>
    <t>確認押下</t>
  </si>
  <si>
    <t>0：未承諾　1：承諾済</t>
  </si>
  <si>
    <t>「Excelファイルを取込むことができません（パスワード付き）。ご確認ください。」</t>
  </si>
  <si>
    <t>「xlsまたはxlsxファイル以外が選択されています。」</t>
  </si>
  <si>
    <t>errors.sheetNotExist</t>
  </si>
  <si>
    <t>{0}:「電子交付同意」</t>
  </si>
  <si>
    <t>info.orderedDataNotExist</t>
  </si>
  <si>
    <t>{0}: 「明細」</t>
  </si>
  <si>
    <t>errors.maxUpload</t>
  </si>
  <si>
    <t>{0}: 「2000」</t>
  </si>
  <si>
    <t>必須入力チェック</t>
    <phoneticPr fontId="7"/>
  </si>
  <si>
    <t>正しい日付で入力チェック</t>
    <phoneticPr fontId="7"/>
  </si>
  <si>
    <t>正しい形式で入力チェック</t>
    <phoneticPr fontId="7"/>
  </si>
  <si>
    <t>errors.type</t>
  </si>
  <si>
    <t>errors.maxSize</t>
    <phoneticPr fontId="7"/>
  </si>
  <si>
    <t>errors.numberFormat</t>
  </si>
  <si>
    <t>{0}は{1}を入力してください。</t>
  </si>
  <si>
    <t>半角英数字</t>
  </si>
  <si>
    <t>{0}は{1}桁以下で入力してください。</t>
  </si>
  <si>
    <t>半角数字</t>
  </si>
  <si>
    <t>6</t>
  </si>
  <si>
    <t>errors.date.specifyFormat</t>
  </si>
  <si>
    <t>{0}を"{1}"の形式で正しい日付で入力してください。</t>
  </si>
  <si>
    <t>0、1</t>
  </si>
  <si>
    <t>{0}を"{1}"の形式で入力してください。</t>
  </si>
  <si>
    <t>errors.butenAccountNotExist</t>
  </si>
  <si>
    <t>COUNT(1)  AS 件数</t>
  </si>
  <si>
    <t>仲介業者顧客口座属性 A</t>
  </si>
  <si>
    <t xml:space="preserve">SELECT		</t>
  </si>
  <si>
    <t>count(1)</t>
  </si>
  <si>
    <t>FROM</t>
  </si>
  <si>
    <t xml:space="preserve">MEDIATE_USER_ATTRIBUTE_INFO MUAI </t>
  </si>
  <si>
    <t>WHERE</t>
  </si>
  <si>
    <t>1 = 1</t>
  </si>
  <si>
    <t>AND MUAI.ACCOUNT_NUMBER = TO_NUMBER(#{accountNumber})</t>
  </si>
  <si>
    <t>A.部店コード =　該当行目の部店コード　且つ
A.口座番号 =　該当行目の口座番号　　</t>
  </si>
  <si>
    <t>MEDIATE_USER_ATTRIBUTE_INFOテーブルに対し、
支店コードおよび口座番号を条件にデータ件数を取得する。</t>
  </si>
  <si>
    <t>クリア押下</t>
  </si>
  <si>
    <t>NGダウンロード押下</t>
  </si>
  <si>
    <t>登録押下</t>
  </si>
  <si>
    <t>BE</t>
  </si>
  <si>
    <t>電子交付同意.xlsx</t>
  </si>
  <si>
    <t>Thực hiện kiểm tra số lượng dữ liệu cần đăng ký</t>
  </si>
  <si>
    <t>Trường hợp bằng 0:</t>
  </si>
  <si>
    <t>Thiết lập thông báo lỗi và kết thúc xử lý</t>
  </si>
  <si>
    <t>Trường hợp có từ 1 bản ghi trở lên</t>
  </si>
  <si>
    <t>Thực hiện xử lý đăng ký dữ liệu</t>
  </si>
  <si>
    <t>Kiểm tra kết quả xử lý đăng ký</t>
  </si>
  <si>
    <t>Trường hợp xử lý thành công</t>
  </si>
  <si>
    <t xml:space="preserve"> Đếm số lượng dữ liệu đã đăng ký</t>
  </si>
  <si>
    <t>MERGE INTO T_IPO_PO_EDELIV_AGRMNT TIPEA</t>
  </si>
  <si>
    <t>USING</t>
  </si>
  <si>
    <t>(</t>
  </si>
  <si>
    <t>SELECT</t>
  </si>
  <si>
    <t>#{param.butenCode} AS BUTEN_CODE,</t>
  </si>
  <si>
    <t>#{param.accountNumber} AS ACCOUNT_NUMBER,</t>
  </si>
  <si>
    <t>TO_DATE(#{param.edelivAgreementDate}, 'YYYY/MM/DD') AS EDELIV_AGREEMENT_DATE,</t>
  </si>
  <si>
    <t>#{param.edelivAgreementKbn} AS EDELIV_AGREEMENT_KBN,</t>
  </si>
  <si>
    <t>#{param.userId}  AS USER_ID</t>
  </si>
  <si>
    <t>FROM DUAL</t>
  </si>
  <si>
    <t>) A</t>
  </si>
  <si>
    <t>ON (</t>
  </si>
  <si>
    <t>TIPEA.BUTEN_CODE = A.BUTEN_CODE</t>
  </si>
  <si>
    <t>AND TIPEA.ACCOUNT_NUMBER = A.ACCOUNT_NUMBER</t>
  </si>
  <si>
    <t>)</t>
  </si>
  <si>
    <t>WHEN MATCHED THEN</t>
  </si>
  <si>
    <t xml:space="preserve">UPDATE SET </t>
  </si>
  <si>
    <t>TIPEA.EDELIV_AGREEMENT_DATE = A.EDELIV_AGREEMENT_DATE,</t>
  </si>
  <si>
    <t>TIPEA.EDELIV_AGREEMENT_KBN = A.EDELIV_AGREEMENT_KBN,</t>
  </si>
  <si>
    <t>TIPEA.UPDATE_USER = A.USER_ID,</t>
  </si>
  <si>
    <t>WHEN NOT MATCHED THEN</t>
  </si>
  <si>
    <t>INSERT (</t>
  </si>
  <si>
    <t>TIPEA.BUTEN_CODE,</t>
  </si>
  <si>
    <t>TIPEA.ACCOUNT_NUMBER,</t>
  </si>
  <si>
    <t>TIPEA.EDELIV_AGREEMENT_DATE,</t>
  </si>
  <si>
    <t>TIPEA.EDELIV_AGREEMENT_KBN,</t>
  </si>
  <si>
    <t>TIPEA.CREATE_TIME,</t>
  </si>
  <si>
    <t>TIPEA.CREATE_USER,</t>
  </si>
  <si>
    <t>TIPEA.UPDATE_TIME,</t>
  </si>
  <si>
    <t>TIPEA.UPDATE_USER,</t>
  </si>
  <si>
    <t>TIPEA.SYS_ID</t>
  </si>
  <si>
    <t>) VALUES (</t>
  </si>
  <si>
    <t>A.BUTEN_CODE,</t>
  </si>
  <si>
    <t>A.ACCOUNT_NUMBER,</t>
  </si>
  <si>
    <t>A.EDELIV_AGREEMENT_DATE,</t>
  </si>
  <si>
    <t>A.EDELIV_AGREEMENT_KBN,</t>
  </si>
  <si>
    <t>A.USER_ID,</t>
  </si>
  <si>
    <t>);</t>
  </si>
  <si>
    <t>OK</t>
  </si>
  <si>
    <t>info.uploadInsertCompleted</t>
  </si>
  <si>
    <t>Hiển thị thông báo số lượng dữ liệu đã đăng ký</t>
  </si>
  <si>
    <t xml:space="preserve"> Cập nhật trạng thái của các dữ liệu có kết quả kiểm tra là "OK" thành "登録済"</t>
  </si>
  <si>
    <t>Lấy đường dẫn file cần đăng ký và hiển thị vào ô nhập đường dẫn file</t>
  </si>
  <si>
    <t>Nút 【確認】 được kích hoạt (Active)</t>
  </si>
  <si>
    <t>Thực hiện kiểm tra định dạng file Excel</t>
  </si>
  <si>
    <t>Nếu không file có phần mở rộng “.xls” hoặc “.xlsx”</t>
  </si>
  <si>
    <t>Hiển thị thông báo lỗi</t>
  </si>
  <si>
    <t>Kiểm tra file có password</t>
  </si>
  <si>
    <t>Nếu file được đặt password</t>
  </si>
  <si>
    <t>Kiểm tra tên sheet</t>
  </si>
  <si>
    <t>Nếu file có từ 1 sheet trở lên</t>
  </si>
  <si>
    <t>Kiểm tra sự tồn tại của sheet 「電子交付同意」</t>
  </si>
  <si>
    <t>Nếu không tồn tại thi Phát sinh lỗi</t>
  </si>
  <si>
    <t>Đọc dữ liệu từ file Excel và thực hiện kiểm tra</t>
  </si>
  <si>
    <t>4.1 Kiểm tra file có ít nhất 1 dòng dữ liệu (không tính header)</t>
  </si>
  <si>
    <t>4.2 Kiểm tra số lượng tối đa</t>
  </si>
  <si>
    <t>Nếu số dòng từ dòng 2 trở đi ≥ 2000 (không tính dòng trống) Phát sinh lỗi</t>
  </si>
  <si>
    <t>Kiểm tra từng dòng dữ liệu</t>
  </si>
  <si>
    <t>Kết quả được lưu vào danh sách hiển thị</t>
  </si>
  <si>
    <t>5.3 Kiểm tra input</t>
  </si>
  <si>
    <t>Tham chiếu sheet 「入力チェック」</t>
  </si>
  <si>
    <t>5.4 Kiểm tra tồn tại 部店 +口座番号</t>
  </si>
  <si>
    <t>Chỉ thực hiện nếu kết quả input check = OK</t>
  </si>
  <si>
    <t>Nếu không có lỗi Gán giá trị 【チェック結果】 = "OK"</t>
  </si>
  <si>
    <t>Lấy từng dòng và thực hiện các kiểm tra từ 5.3 ~ 5.4</t>
  </si>
  <si>
    <t>Điều khiển trạng thái nút</t>
  </si>
  <si>
    <t>Nếu tồn tại dòng có trạng thái "OK" Nút 【登録】 được kích hoạt</t>
  </si>
  <si>
    <t>Nếu tồn tại dòng có lỗi (NG) Nút 【NGダウンロード】 được kích hoạt</t>
  </si>
  <si>
    <t>Nếu COUNT = 0 lưu lại lỗi</t>
  </si>
  <si>
    <t>Thực hiện download dữ liệu có trạng thái “NGあり” (có lỗi) trong danh sách.</t>
  </si>
  <si>
    <t>Tên file download được thiết lập như sau: 「NG電子交付同意_yyyymmddhhmiss」</t>
  </si>
  <si>
    <t>Khi nhấn nút Clear, màn hình được khởi tạo lại.</t>
  </si>
  <si>
    <t>Các dữ liệu chi tiết hiển thị sẽ bị xóa,</t>
  </si>
  <si>
    <t>đồng thời các nút「確認」「NGダウンロード」「登録」sẽ chuyển sang trạng thái không hoạt động.</t>
  </si>
  <si>
    <t>Nếu dữ liệu "OK" không tồn tại trong DB thì thực hiện đăng ký (insert).</t>
  </si>
  <si>
    <t>Nếu dữ liệu có kết quả check là "OK" và tồn tại trong DB thì thực hiện cập nhật.</t>
  </si>
  <si>
    <t>【更新項目】</t>
  </si>
  <si>
    <t>更新日</t>
  </si>
  <si>
    <t>更新者</t>
  </si>
  <si>
    <t>機能ID</t>
  </si>
  <si>
    <t>画面表示リスト.電子交付承諾日付</t>
  </si>
  <si>
    <t>画面表示リスト.電子交付承諾区分 ※1：承諾済　0：未承諾</t>
  </si>
  <si>
    <t>システム日付</t>
  </si>
  <si>
    <t>ログインユーザID</t>
  </si>
  <si>
    <t>IFA_DATE_UTIL.IFA_GET_DATE()</t>
  </si>
  <si>
    <t>【設定内容】</t>
  </si>
  <si>
    <t>【設定項目】</t>
  </si>
  <si>
    <t>作成日</t>
  </si>
  <si>
    <t>作成者</t>
  </si>
  <si>
    <t>画面表示リスト.部店</t>
  </si>
  <si>
    <t>画面表示リスト.口座番号</t>
  </si>
  <si>
    <t>SUB0504_02-01</t>
  </si>
  <si>
    <t>TIPEA.UPDATE_TIME = IFA_DATE_UTIL.IFA_GET_DATE(),</t>
  </si>
  <si>
    <t>IFA_DATE_UTIL.IFA_GET_DATE(),</t>
  </si>
  <si>
    <t>"SUB0504"</t>
  </si>
  <si>
    <t>TIPEA.SYS_ID ='SUB0504'</t>
  </si>
  <si>
    <t>'SUB0504'</t>
  </si>
  <si>
    <t>AND MUAI.BUTEN_CODE = #{butenCode},</t>
  </si>
  <si>
    <t>項目名称</t>
  </si>
  <si>
    <t>必須</t>
  </si>
  <si>
    <t>入力形式/表示形式</t>
  </si>
  <si>
    <t>最大桁数</t>
  </si>
  <si>
    <t>○</t>
    <phoneticPr fontId="7"/>
  </si>
  <si>
    <t>-</t>
    <phoneticPr fontId="0"/>
  </si>
  <si>
    <t>名前固定</t>
    <rPh sb="0" eb="2">
      <t>ナマエ</t>
    </rPh>
    <rPh sb="2" eb="4">
      <t>コテイ</t>
    </rPh>
    <phoneticPr fontId="31"/>
  </si>
  <si>
    <t>部店</t>
    <rPh sb="0" eb="2">
      <t>ブテン</t>
    </rPh>
    <phoneticPr fontId="7"/>
  </si>
  <si>
    <t>文字列</t>
  </si>
  <si>
    <t>口座番号</t>
    <rPh sb="0" eb="4">
      <t>コウザバンゴウ</t>
    </rPh>
    <phoneticPr fontId="7"/>
  </si>
  <si>
    <t>文字列</t>
    <phoneticPr fontId="31"/>
  </si>
  <si>
    <t>電子交付承諾日付</t>
    <phoneticPr fontId="31"/>
  </si>
  <si>
    <t>電子交付承諾区分</t>
    <phoneticPr fontId="31"/>
  </si>
  <si>
    <t>部店</t>
    <phoneticPr fontId="7"/>
  </si>
  <si>
    <t>半角数字のみ</t>
    <phoneticPr fontId="7"/>
  </si>
  <si>
    <t>電子交付承諾日付</t>
    <rPh sb="0" eb="2">
      <t>デンシ</t>
    </rPh>
    <rPh sb="2" eb="4">
      <t>コウフ</t>
    </rPh>
    <rPh sb="4" eb="8">
      <t>ショウダクヒヅケ</t>
    </rPh>
    <phoneticPr fontId="7"/>
  </si>
  <si>
    <t>yyyy/mm/ddのみ</t>
    <phoneticPr fontId="7"/>
  </si>
  <si>
    <t>電子交付承諾区分</t>
    <rPh sb="0" eb="2">
      <t>デンシ</t>
    </rPh>
    <rPh sb="2" eb="4">
      <t>コウフ</t>
    </rPh>
    <rPh sb="4" eb="6">
      <t>ショウダク</t>
    </rPh>
    <rPh sb="6" eb="8">
      <t>クブン</t>
    </rPh>
    <phoneticPr fontId="7"/>
  </si>
  <si>
    <t>1行目固定：ヘッダー部</t>
  </si>
  <si>
    <t>2行目以降：　データ入力部</t>
  </si>
  <si>
    <t>1.シートの内容イメージ</t>
  </si>
  <si>
    <t>2.シート(「電子交付同意」)の項目説明</t>
  </si>
  <si>
    <t>Các cột dữ liệu của file download giống với các cột trong file template upload 【アップロード用テンプレート説明】</t>
  </si>
  <si>
    <t>アップロード用テンプレート説明</t>
  </si>
  <si>
    <t>入力チェック</t>
  </si>
  <si>
    <t>SQL日本語名称</t>
  </si>
  <si>
    <t>テーブル日本語名称</t>
  </si>
  <si>
    <t>仲介業者顧客口座属性</t>
  </si>
  <si>
    <t>T_IPO_PO_EDELIV_AGRMNT</t>
  </si>
  <si>
    <t>IPO・PO電子交付承諾</t>
  </si>
  <si>
    <t>顧客属性情報取得</t>
  </si>
  <si>
    <t>SQL001. 顧客属性情報取得</t>
  </si>
  <si>
    <t>電子交付承諾情報登録更新</t>
  </si>
  <si>
    <t>SQL002.電子交付承諾情報登録更新</t>
  </si>
  <si>
    <t>A006</t>
  </si>
  <si>
    <t>ポップアップダイアログ（明細データのチェック結果はNGあり場合）</t>
  </si>
  <si>
    <t>NGあり押下</t>
  </si>
  <si>
    <t>■電子交付同意データ一覧</t>
  </si>
  <si>
    <t>"「NGあり」の場合、リンクを表示する。（A006）
「OK」の場合、テキストのみを表示する。
リンク押下時、チェック結果に応じたチェックメッセージを表示する。</t>
  </si>
  <si>
    <t>削除： 【IPO・PO電子交付承諾】テーブルに対する登録・更新処理</t>
  </si>
  <si>
    <t>API_A002</t>
  </si>
  <si>
    <t>ファイルパスが未入力の場合、「確認」ボタンは非活性とする。
入力された場合、「確認」ボタンは活性とする。</t>
  </si>
  <si>
    <t>初期表示：非活性
OKデータが存在する場合のみ、活性とする</t>
  </si>
  <si>
    <t>初期表示：非活性
NGデータが存在する場合のみ、活性とする</t>
  </si>
  <si>
    <t>errors.notExcelFile</t>
  </si>
  <si>
    <t>errors.hasPassword</t>
  </si>
  <si>
    <t>trong quá trình xử lý phát sinh → trả về lỗi hệ thống</t>
  </si>
  <si>
    <t>errors.serverError</t>
  </si>
  <si>
    <t>メッセージを表示する</t>
  </si>
  <si>
    <t>Hidden項目</t>
  </si>
  <si>
    <t>目論見書閲覧データ一覧.メッセージを表示する</t>
  </si>
  <si>
    <t>【取得項目】</t>
  </si>
  <si>
    <t>必須入力チェック</t>
  </si>
  <si>
    <t>半角英数字のみチェック</t>
  </si>
  <si>
    <t>桁数チェック(最大3桁)</t>
  </si>
  <si>
    <t>半角数字のみチェック</t>
  </si>
  <si>
    <t>桁数チェック(最大6桁)</t>
  </si>
  <si>
    <t>遷移元画面</t>
  </si>
  <si>
    <t>リクエスト</t>
  </si>
  <si>
    <t>画面</t>
  </si>
  <si>
    <t>API-A003</t>
  </si>
  <si>
    <t>NGあり</t>
  </si>
  <si>
    <t>電子交付承諾区分漢字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</si>
</sst>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);[Red]\(0.0\)"/>
    <numFmt numFmtId="165" formatCode="0000"/>
  </numFmts>
  <fonts count="39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0"/>
      <color theme="1"/>
      <name val="Meiryo UI"/>
      <family val="2"/>
      <charset val="128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6"/>
      <name val="Calibri"/>
      <family val="2"/>
      <charset val="128"/>
      <scheme val="minor"/>
    </font>
    <font>
      <sz val="9"/>
      <name val="Meiryo UI"/>
      <family val="2"/>
    </font>
    <font>
      <b/>
      <sz val="11"/>
      <name val="Meiryo UI"/>
      <family val="2"/>
    </font>
    <font>
      <sz val="9"/>
      <color theme="1"/>
      <name val="Meiryo UI"/>
      <family val="3"/>
      <charset val="128"/>
    </font>
    <font>
      <sz val="9"/>
      <name val="Meiryo UI"/>
      <family val="3"/>
      <charset val="128"/>
    </font>
    <font>
      <sz val="11"/>
      <color rgb="FF000000"/>
      <name val="MS PGothic"/>
      <family val="3"/>
      <charset val="128"/>
    </font>
    <font>
      <u/>
      <sz val="11"/>
      <color theme="10"/>
      <name val="Calibri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b/>
      <sz val="14"/>
      <color theme="1"/>
      <name val="Calibri"/>
      <family val="3"/>
      <charset val="128"/>
      <scheme val="minor"/>
    </font>
    <font>
      <sz val="11"/>
      <color theme="1"/>
      <name val="Meiryo UI"/>
      <family val="3"/>
      <charset val="128"/>
    </font>
    <font>
      <sz val="20"/>
      <color theme="1"/>
      <name val="Meiryo UI"/>
      <family val="3"/>
      <charset val="128"/>
    </font>
    <font>
      <sz val="9"/>
      <color theme="0" tint="-0.14999847407452621"/>
      <name val="Meiryo UI"/>
      <family val="3"/>
      <charset val="128"/>
    </font>
    <font>
      <sz val="9"/>
      <color indexed="81"/>
      <name val="MS P ゴシック"/>
      <family val="3"/>
      <charset val="128"/>
    </font>
    <font>
      <b/>
      <sz val="9"/>
      <name val="Meiryo UI"/>
      <family val="3"/>
      <charset val="128"/>
    </font>
    <font>
      <b/>
      <sz val="11"/>
      <color rgb="FFFF0000"/>
      <name val="Calibri"/>
      <family val="3"/>
      <charset val="128"/>
      <scheme val="minor"/>
    </font>
    <font>
      <sz val="11"/>
      <name val="Calibri"/>
      <family val="3"/>
      <charset val="128"/>
      <scheme val="minor"/>
    </font>
    <font>
      <sz val="11"/>
      <name val="Meiryo UI"/>
      <family val="3"/>
      <charset val="128"/>
    </font>
    <font>
      <sz val="11"/>
      <color indexed="8"/>
      <name val="ＭＳ Ｐゴシック"/>
      <family val="3"/>
      <charset val="128"/>
    </font>
    <font>
      <b/>
      <sz val="24"/>
      <name val="Meiryo UI"/>
      <family val="3"/>
      <charset val="128"/>
    </font>
    <font>
      <b/>
      <sz val="11"/>
      <name val="Meiryo UI"/>
      <family val="3"/>
      <charset val="128"/>
    </font>
    <font>
      <b/>
      <sz val="9"/>
      <color theme="1"/>
      <name val="Meiryo UI"/>
      <family val="3"/>
      <charset val="128"/>
    </font>
    <font>
      <sz val="9"/>
      <color theme="1"/>
      <name val="Calibri"/>
      <family val="2"/>
      <charset val="128"/>
      <scheme val="minor"/>
    </font>
    <font>
      <sz val="9"/>
      <color rgb="FFFF0000"/>
      <name val="Meiryo UI"/>
      <family val="3"/>
      <charset val="128"/>
    </font>
    <font>
      <sz val="11"/>
      <color theme="1"/>
      <name val="Calibri"/>
      <family val="2"/>
      <charset val="128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3"/>
      <charset val="128"/>
      <scheme val="minor"/>
    </font>
    <font>
      <sz val="9"/>
      <color theme="1"/>
      <name val="Calibri"/>
      <family val="3"/>
      <charset val="128"/>
      <scheme val="minor"/>
    </font>
    <font>
      <sz val="9"/>
      <name val="Calibri Light"/>
      <family val="3"/>
      <charset val="128"/>
      <scheme val="major"/>
    </font>
    <font>
      <sz val="9"/>
      <color theme="1"/>
      <name val="Calibri Light"/>
      <family val="3"/>
      <charset val="128"/>
      <scheme val="major"/>
    </font>
    <font>
      <b/>
      <sz val="9"/>
      <name val="Calibri Light"/>
      <family val="3"/>
      <charset val="128"/>
      <scheme val="major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4C6E7"/>
        <bgColor rgb="FF000000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6" fillId="0" borderId="0">
      <alignment vertical="center"/>
    </xf>
    <xf numFmtId="0" fontId="4" fillId="0" borderId="0"/>
    <xf numFmtId="0" fontId="12" fillId="0" borderId="0"/>
    <xf numFmtId="0" fontId="13" fillId="0" borderId="0" applyNumberFormat="0" applyFill="0" applyBorder="0" applyAlignment="0" applyProtection="0"/>
    <xf numFmtId="0" fontId="3" fillId="0" borderId="0"/>
    <xf numFmtId="0" fontId="3" fillId="0" borderId="0"/>
    <xf numFmtId="0" fontId="6" fillId="0" borderId="0">
      <alignment vertical="center"/>
    </xf>
    <xf numFmtId="0" fontId="4" fillId="0" borderId="0"/>
    <xf numFmtId="0" fontId="2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1" fillId="0" borderId="0"/>
    <xf numFmtId="0" fontId="30" fillId="0" borderId="0">
      <alignment vertical="center"/>
    </xf>
  </cellStyleXfs>
  <cellXfs count="452">
    <xf numFmtId="0" fontId="0" fillId="0" borderId="0" xfId="0"/>
    <xf numFmtId="0" fontId="9" fillId="0" borderId="1" xfId="3" applyFont="1" applyBorder="1">
      <alignment vertical="center"/>
    </xf>
    <xf numFmtId="0" fontId="8" fillId="0" borderId="2" xfId="5" applyFont="1" applyBorder="1" applyAlignment="1">
      <alignment vertical="top"/>
    </xf>
    <xf numFmtId="0" fontId="8" fillId="0" borderId="0" xfId="5" applyFont="1" applyAlignment="1">
      <alignment vertical="top"/>
    </xf>
    <xf numFmtId="0" fontId="11" fillId="0" borderId="0" xfId="5" applyFont="1" applyAlignment="1">
      <alignment vertical="top"/>
    </xf>
    <xf numFmtId="0" fontId="15" fillId="0" borderId="0" xfId="0" applyFont="1"/>
    <xf numFmtId="0" fontId="0" fillId="3" borderId="22" xfId="0" applyFill="1" applyBorder="1"/>
    <xf numFmtId="0" fontId="0" fillId="0" borderId="22" xfId="0" applyBorder="1"/>
    <xf numFmtId="0" fontId="0" fillId="0" borderId="22" xfId="0" applyBorder="1" applyAlignment="1">
      <alignment wrapText="1"/>
    </xf>
    <xf numFmtId="0" fontId="0" fillId="0" borderId="2" xfId="0" applyBorder="1"/>
    <xf numFmtId="0" fontId="16" fillId="5" borderId="0" xfId="9" applyFont="1" applyFill="1"/>
    <xf numFmtId="0" fontId="10" fillId="5" borderId="0" xfId="0" applyFont="1" applyFill="1"/>
    <xf numFmtId="0" fontId="6" fillId="0" borderId="0" xfId="0" applyFont="1"/>
    <xf numFmtId="0" fontId="6" fillId="3" borderId="22" xfId="0" applyFont="1" applyFill="1" applyBorder="1"/>
    <xf numFmtId="0" fontId="6" fillId="0" borderId="22" xfId="0" applyFont="1" applyBorder="1"/>
    <xf numFmtId="0" fontId="11" fillId="0" borderId="1" xfId="7" quotePrefix="1" applyFont="1" applyBorder="1" applyAlignment="1">
      <alignment horizontal="left" vertical="top"/>
    </xf>
    <xf numFmtId="0" fontId="11" fillId="3" borderId="9" xfId="5" applyFont="1" applyFill="1" applyBorder="1" applyAlignment="1">
      <alignment horizontal="center" vertical="top"/>
    </xf>
    <xf numFmtId="0" fontId="11" fillId="0" borderId="15" xfId="5" applyFont="1" applyBorder="1" applyAlignment="1">
      <alignment vertical="top"/>
    </xf>
    <xf numFmtId="0" fontId="11" fillId="0" borderId="9" xfId="5" applyFont="1" applyBorder="1" applyAlignment="1">
      <alignment vertical="top"/>
    </xf>
    <xf numFmtId="0" fontId="16" fillId="5" borderId="0" xfId="9" applyFont="1" applyFill="1" applyAlignment="1">
      <alignment vertical="top"/>
    </xf>
    <xf numFmtId="0" fontId="16" fillId="5" borderId="0" xfId="9" applyFont="1" applyFill="1" applyAlignment="1">
      <alignment horizontal="left" vertical="top"/>
    </xf>
    <xf numFmtId="0" fontId="11" fillId="0" borderId="0" xfId="5" applyFont="1" applyAlignment="1">
      <alignment horizontal="left" vertical="top"/>
    </xf>
    <xf numFmtId="0" fontId="16" fillId="7" borderId="22" xfId="9" applyFont="1" applyFill="1" applyBorder="1" applyAlignment="1">
      <alignment horizontal="left"/>
    </xf>
    <xf numFmtId="0" fontId="16" fillId="5" borderId="0" xfId="0" applyFont="1" applyFill="1"/>
    <xf numFmtId="0" fontId="8" fillId="0" borderId="22" xfId="5" applyFont="1" applyBorder="1" applyAlignment="1">
      <alignment vertical="top"/>
    </xf>
    <xf numFmtId="0" fontId="20" fillId="0" borderId="0" xfId="5" applyFont="1" applyAlignment="1">
      <alignment vertical="top"/>
    </xf>
    <xf numFmtId="0" fontId="16" fillId="5" borderId="22" xfId="9" applyFont="1" applyFill="1" applyBorder="1" applyAlignment="1">
      <alignment horizontal="left" vertical="top"/>
    </xf>
    <xf numFmtId="0" fontId="11" fillId="0" borderId="22" xfId="5" applyFont="1" applyBorder="1" applyAlignment="1">
      <alignment horizontal="left" vertical="top"/>
    </xf>
    <xf numFmtId="49" fontId="8" fillId="0" borderId="0" xfId="5" applyNumberFormat="1" applyFont="1" applyAlignment="1">
      <alignment vertical="top"/>
    </xf>
    <xf numFmtId="165" fontId="11" fillId="0" borderId="16" xfId="3" applyNumberFormat="1" applyFont="1" applyBorder="1" applyAlignment="1">
      <alignment horizontal="center" vertical="center"/>
    </xf>
    <xf numFmtId="49" fontId="11" fillId="0" borderId="23" xfId="3" applyNumberFormat="1" applyFont="1" applyBorder="1" applyAlignment="1">
      <alignment horizontal="center" vertical="center"/>
    </xf>
    <xf numFmtId="14" fontId="11" fillId="0" borderId="18" xfId="3" applyNumberFormat="1" applyFont="1" applyBorder="1" applyAlignment="1">
      <alignment horizontal="center" vertical="center" shrinkToFit="1"/>
    </xf>
    <xf numFmtId="0" fontId="11" fillId="0" borderId="18" xfId="3" applyFont="1" applyBorder="1" applyAlignment="1">
      <alignment horizontal="center" vertical="center"/>
    </xf>
    <xf numFmtId="0" fontId="11" fillId="0" borderId="23" xfId="3" applyFont="1" applyBorder="1" applyAlignment="1">
      <alignment horizontal="left" vertical="center"/>
    </xf>
    <xf numFmtId="0" fontId="11" fillId="0" borderId="23" xfId="3" applyFont="1" applyBorder="1" applyAlignment="1">
      <alignment horizontal="center" vertical="center"/>
    </xf>
    <xf numFmtId="0" fontId="11" fillId="0" borderId="23" xfId="3" applyFont="1" applyBorder="1" applyAlignment="1">
      <alignment vertical="center" wrapText="1"/>
    </xf>
    <xf numFmtId="14" fontId="11" fillId="0" borderId="17" xfId="3" applyNumberFormat="1" applyFont="1" applyBorder="1" applyAlignment="1">
      <alignment horizontal="center" vertical="center" shrinkToFit="1"/>
    </xf>
    <xf numFmtId="0" fontId="11" fillId="0" borderId="17" xfId="3" applyFont="1" applyBorder="1" applyAlignment="1">
      <alignment horizontal="center" vertical="center"/>
    </xf>
    <xf numFmtId="0" fontId="11" fillId="0" borderId="23" xfId="3" applyFont="1" applyBorder="1" applyAlignment="1">
      <alignment horizontal="left" vertical="center" wrapText="1"/>
    </xf>
    <xf numFmtId="0" fontId="17" fillId="5" borderId="0" xfId="9" applyFont="1" applyFill="1" applyAlignment="1">
      <alignment vertical="top"/>
    </xf>
    <xf numFmtId="0" fontId="21" fillId="0" borderId="0" xfId="0" applyFont="1"/>
    <xf numFmtId="0" fontId="22" fillId="0" borderId="22" xfId="0" applyFont="1" applyBorder="1"/>
    <xf numFmtId="0" fontId="11" fillId="0" borderId="19" xfId="5" applyFont="1" applyBorder="1" applyAlignment="1">
      <alignment horizontal="left" vertical="top"/>
    </xf>
    <xf numFmtId="0" fontId="11" fillId="3" borderId="22" xfId="5" applyFont="1" applyFill="1" applyBorder="1" applyAlignment="1">
      <alignment horizontal="center" vertical="top"/>
    </xf>
    <xf numFmtId="0" fontId="16" fillId="0" borderId="0" xfId="0" applyFont="1"/>
    <xf numFmtId="0" fontId="8" fillId="2" borderId="22" xfId="3" applyFont="1" applyFill="1" applyBorder="1" applyAlignment="1">
      <alignment horizontal="center" vertical="center"/>
    </xf>
    <xf numFmtId="0" fontId="16" fillId="0" borderId="22" xfId="0" applyFont="1" applyBorder="1"/>
    <xf numFmtId="0" fontId="18" fillId="0" borderId="4" xfId="7" quotePrefix="1" applyFont="1" applyBorder="1" applyAlignment="1">
      <alignment horizontal="left" vertical="top"/>
    </xf>
    <xf numFmtId="0" fontId="18" fillId="0" borderId="21" xfId="5" applyFont="1" applyBorder="1" applyAlignment="1">
      <alignment horizontal="left" vertical="top"/>
    </xf>
    <xf numFmtId="0" fontId="11" fillId="0" borderId="0" xfId="5" applyFont="1" applyAlignment="1">
      <alignment horizontal="right"/>
    </xf>
    <xf numFmtId="0" fontId="11" fillId="0" borderId="32" xfId="5" applyFont="1" applyBorder="1" applyAlignment="1">
      <alignment vertical="top" wrapText="1"/>
    </xf>
    <xf numFmtId="0" fontId="23" fillId="5" borderId="22" xfId="9" applyFont="1" applyFill="1" applyBorder="1" applyAlignment="1">
      <alignment horizontal="left" vertical="top"/>
    </xf>
    <xf numFmtId="0" fontId="11" fillId="0" borderId="22" xfId="5" applyFont="1" applyBorder="1" applyAlignment="1">
      <alignment horizontal="left" vertical="top" wrapText="1"/>
    </xf>
    <xf numFmtId="0" fontId="11" fillId="0" borderId="33" xfId="5" applyFont="1" applyBorder="1" applyAlignment="1">
      <alignment horizontal="left" vertical="top" wrapText="1"/>
    </xf>
    <xf numFmtId="0" fontId="11" fillId="0" borderId="0" xfId="4" applyFont="1" applyAlignment="1">
      <alignment vertical="center" wrapText="1"/>
    </xf>
    <xf numFmtId="0" fontId="11" fillId="0" borderId="9" xfId="5" applyFont="1" applyBorder="1" applyAlignment="1">
      <alignment horizontal="left" vertical="top" wrapText="1" shrinkToFit="1"/>
    </xf>
    <xf numFmtId="0" fontId="11" fillId="0" borderId="32" xfId="5" applyFont="1" applyBorder="1" applyAlignment="1">
      <alignment vertical="top"/>
    </xf>
    <xf numFmtId="0" fontId="11" fillId="0" borderId="25" xfId="5" applyFont="1" applyBorder="1" applyAlignment="1">
      <alignment vertical="top"/>
    </xf>
    <xf numFmtId="0" fontId="11" fillId="0" borderId="36" xfId="5" applyFont="1" applyBorder="1" applyAlignment="1">
      <alignment horizontal="left" vertical="top" wrapText="1"/>
    </xf>
    <xf numFmtId="0" fontId="11" fillId="0" borderId="26" xfId="5" applyFont="1" applyBorder="1" applyAlignment="1">
      <alignment vertical="top"/>
    </xf>
    <xf numFmtId="165" fontId="11" fillId="0" borderId="33" xfId="3" applyNumberFormat="1" applyFont="1" applyBorder="1" applyAlignment="1">
      <alignment horizontal="center" vertical="center"/>
    </xf>
    <xf numFmtId="0" fontId="11" fillId="0" borderId="31" xfId="5" applyFont="1" applyBorder="1" applyAlignment="1">
      <alignment vertical="top"/>
    </xf>
    <xf numFmtId="0" fontId="11" fillId="0" borderId="0" xfId="4" applyFont="1" applyAlignment="1">
      <alignment vertical="top"/>
    </xf>
    <xf numFmtId="0" fontId="23" fillId="7" borderId="22" xfId="9" applyFont="1" applyFill="1" applyBorder="1" applyAlignment="1">
      <alignment horizontal="left"/>
    </xf>
    <xf numFmtId="0" fontId="23" fillId="0" borderId="22" xfId="9" applyFont="1" applyBorder="1" applyAlignment="1">
      <alignment horizontal="left"/>
    </xf>
    <xf numFmtId="0" fontId="11" fillId="0" borderId="10" xfId="4" applyFont="1" applyBorder="1" applyAlignment="1">
      <alignment vertical="top"/>
    </xf>
    <xf numFmtId="0" fontId="23" fillId="0" borderId="0" xfId="9" applyFont="1" applyAlignment="1">
      <alignment vertical="top"/>
    </xf>
    <xf numFmtId="0" fontId="11" fillId="0" borderId="37" xfId="5" applyFont="1" applyBorder="1" applyAlignment="1">
      <alignment horizontal="left" vertical="top" wrapText="1"/>
    </xf>
    <xf numFmtId="49" fontId="11" fillId="0" borderId="33" xfId="3" applyNumberFormat="1" applyFont="1" applyBorder="1" applyAlignment="1">
      <alignment horizontal="center" vertical="center"/>
    </xf>
    <xf numFmtId="0" fontId="11" fillId="0" borderId="9" xfId="5" applyFont="1" applyBorder="1" applyAlignment="1">
      <alignment horizontal="left" vertical="top" wrapText="1"/>
    </xf>
    <xf numFmtId="0" fontId="11" fillId="0" borderId="10" xfId="5" applyFont="1" applyBorder="1" applyAlignment="1">
      <alignment vertical="top"/>
    </xf>
    <xf numFmtId="0" fontId="11" fillId="0" borderId="9" xfId="7" applyFont="1" applyFill="1" applyBorder="1" applyAlignment="1">
      <alignment vertical="top"/>
    </xf>
    <xf numFmtId="0" fontId="11" fillId="0" borderId="20" xfId="4" applyFont="1" applyBorder="1" applyAlignment="1">
      <alignment vertical="top"/>
    </xf>
    <xf numFmtId="49" fontId="20" fillId="0" borderId="4" xfId="7" applyNumberFormat="1" applyFont="1" applyFill="1" applyBorder="1" applyAlignment="1">
      <alignment vertical="top"/>
    </xf>
    <xf numFmtId="49" fontId="11" fillId="0" borderId="0" xfId="4" applyNumberFormat="1" applyFont="1" applyAlignment="1">
      <alignment vertical="top"/>
    </xf>
    <xf numFmtId="49" fontId="11" fillId="0" borderId="5" xfId="4" applyNumberFormat="1" applyFont="1" applyBorder="1" applyAlignment="1">
      <alignment vertical="top"/>
    </xf>
    <xf numFmtId="49" fontId="11" fillId="0" borderId="19" xfId="5" applyNumberFormat="1" applyFont="1" applyBorder="1" applyAlignment="1">
      <alignment vertical="top"/>
    </xf>
    <xf numFmtId="49" fontId="11" fillId="0" borderId="4" xfId="7" applyNumberFormat="1" applyFont="1" applyFill="1" applyBorder="1" applyAlignment="1">
      <alignment vertical="top"/>
    </xf>
    <xf numFmtId="49" fontId="11" fillId="0" borderId="21" xfId="5" applyNumberFormat="1" applyFont="1" applyBorder="1" applyAlignment="1">
      <alignment vertical="top"/>
    </xf>
    <xf numFmtId="49" fontId="20" fillId="0" borderId="4" xfId="5" applyNumberFormat="1" applyFont="1" applyBorder="1" applyAlignment="1">
      <alignment vertical="top"/>
    </xf>
    <xf numFmtId="49" fontId="11" fillId="0" borderId="5" xfId="5" applyNumberFormat="1" applyFont="1" applyBorder="1" applyAlignment="1">
      <alignment vertical="top"/>
    </xf>
    <xf numFmtId="49" fontId="11" fillId="0" borderId="6" xfId="7" applyNumberFormat="1" applyFont="1" applyFill="1" applyBorder="1" applyAlignment="1">
      <alignment vertical="top"/>
    </xf>
    <xf numFmtId="49" fontId="11" fillId="0" borderId="7" xfId="4" applyNumberFormat="1" applyFont="1" applyBorder="1" applyAlignment="1">
      <alignment vertical="top"/>
    </xf>
    <xf numFmtId="49" fontId="11" fillId="0" borderId="8" xfId="4" applyNumberFormat="1" applyFont="1" applyBorder="1" applyAlignment="1">
      <alignment vertical="top"/>
    </xf>
    <xf numFmtId="49" fontId="11" fillId="0" borderId="27" xfId="5" applyNumberFormat="1" applyFont="1" applyBorder="1" applyAlignment="1">
      <alignment vertical="top"/>
    </xf>
    <xf numFmtId="0" fontId="11" fillId="0" borderId="34" xfId="5" applyFont="1" applyBorder="1" applyAlignment="1">
      <alignment vertical="top"/>
    </xf>
    <xf numFmtId="0" fontId="11" fillId="0" borderId="22" xfId="5" quotePrefix="1" applyFont="1" applyBorder="1" applyAlignment="1">
      <alignment vertical="top"/>
    </xf>
    <xf numFmtId="49" fontId="16" fillId="5" borderId="0" xfId="9" applyNumberFormat="1" applyFont="1" applyFill="1"/>
    <xf numFmtId="0" fontId="11" fillId="0" borderId="22" xfId="5" applyFont="1" applyBorder="1" applyAlignment="1">
      <alignment vertical="top"/>
    </xf>
    <xf numFmtId="0" fontId="11" fillId="2" borderId="15" xfId="3" applyFont="1" applyFill="1" applyBorder="1" applyAlignment="1">
      <alignment horizontal="center" vertical="center"/>
    </xf>
    <xf numFmtId="49" fontId="11" fillId="0" borderId="16" xfId="3" applyNumberFormat="1" applyFont="1" applyBorder="1" applyAlignment="1">
      <alignment horizontal="center" vertical="center"/>
    </xf>
    <xf numFmtId="0" fontId="11" fillId="0" borderId="18" xfId="3" applyFont="1" applyBorder="1" applyAlignment="1">
      <alignment horizontal="center" vertical="center" shrinkToFit="1"/>
    </xf>
    <xf numFmtId="165" fontId="11" fillId="0" borderId="33" xfId="3" quotePrefix="1" applyNumberFormat="1" applyFont="1" applyBorder="1" applyAlignment="1">
      <alignment horizontal="center" vertical="center"/>
    </xf>
    <xf numFmtId="165" fontId="11" fillId="0" borderId="28" xfId="3" applyNumberFormat="1" applyFont="1" applyBorder="1" applyAlignment="1">
      <alignment horizontal="center" vertical="center"/>
    </xf>
    <xf numFmtId="165" fontId="11" fillId="0" borderId="24" xfId="3" applyNumberFormat="1" applyFont="1" applyBorder="1" applyAlignment="1">
      <alignment horizontal="center" vertical="center"/>
    </xf>
    <xf numFmtId="49" fontId="11" fillId="0" borderId="30" xfId="3" applyNumberFormat="1" applyFont="1" applyBorder="1" applyAlignment="1">
      <alignment horizontal="center" vertical="center"/>
    </xf>
    <xf numFmtId="14" fontId="11" fillId="0" borderId="29" xfId="3" applyNumberFormat="1" applyFont="1" applyBorder="1" applyAlignment="1">
      <alignment horizontal="center" vertical="center" shrinkToFit="1"/>
    </xf>
    <xf numFmtId="0" fontId="11" fillId="0" borderId="29" xfId="3" applyFont="1" applyBorder="1" applyAlignment="1">
      <alignment horizontal="center" vertical="center"/>
    </xf>
    <xf numFmtId="0" fontId="11" fillId="0" borderId="30" xfId="3" applyFont="1" applyBorder="1" applyAlignment="1">
      <alignment horizontal="left" vertical="center"/>
    </xf>
    <xf numFmtId="0" fontId="11" fillId="0" borderId="30" xfId="3" applyFont="1" applyBorder="1" applyAlignment="1">
      <alignment vertical="center" wrapText="1"/>
    </xf>
    <xf numFmtId="0" fontId="11" fillId="0" borderId="30" xfId="3" applyFont="1" applyBorder="1" applyAlignment="1">
      <alignment horizontal="center" vertical="center"/>
    </xf>
    <xf numFmtId="0" fontId="23" fillId="7" borderId="22" xfId="9" applyFont="1" applyFill="1" applyBorder="1" applyAlignment="1">
      <alignment horizontal="left" vertical="top"/>
    </xf>
    <xf numFmtId="0" fontId="11" fillId="3" borderId="9" xfId="5" applyFont="1" applyFill="1" applyBorder="1" applyAlignment="1">
      <alignment vertical="top"/>
    </xf>
    <xf numFmtId="0" fontId="11" fillId="3" borderId="10" xfId="5" applyFont="1" applyFill="1" applyBorder="1" applyAlignment="1">
      <alignment horizontal="center" vertical="top"/>
    </xf>
    <xf numFmtId="0" fontId="11" fillId="0" borderId="0" xfId="5" applyFont="1" applyAlignment="1">
      <alignment vertical="top" wrapText="1"/>
    </xf>
    <xf numFmtId="0" fontId="11" fillId="6" borderId="1" xfId="5" applyFont="1" applyFill="1" applyBorder="1" applyAlignment="1">
      <alignment horizontal="center" vertical="top" wrapText="1"/>
    </xf>
    <xf numFmtId="0" fontId="11" fillId="6" borderId="19" xfId="5" applyFont="1" applyFill="1" applyBorder="1" applyAlignment="1">
      <alignment horizontal="center" vertical="top"/>
    </xf>
    <xf numFmtId="0" fontId="11" fillId="6" borderId="9" xfId="5" applyFont="1" applyFill="1" applyBorder="1" applyAlignment="1">
      <alignment horizontal="centerContinuous" vertical="top" wrapText="1"/>
    </xf>
    <xf numFmtId="0" fontId="11" fillId="6" borderId="20" xfId="5" applyFont="1" applyFill="1" applyBorder="1" applyAlignment="1">
      <alignment horizontal="centerContinuous" vertical="top" wrapText="1"/>
    </xf>
    <xf numFmtId="0" fontId="11" fillId="6" borderId="19" xfId="5" applyFont="1" applyFill="1" applyBorder="1" applyAlignment="1">
      <alignment horizontal="center" vertical="top" wrapText="1"/>
    </xf>
    <xf numFmtId="0" fontId="11" fillId="6" borderId="6" xfId="5" applyFont="1" applyFill="1" applyBorder="1" applyAlignment="1">
      <alignment horizontal="center" vertical="top" wrapText="1"/>
    </xf>
    <xf numFmtId="0" fontId="11" fillId="6" borderId="27" xfId="5" applyFont="1" applyFill="1" applyBorder="1" applyAlignment="1">
      <alignment horizontal="center" vertical="top"/>
    </xf>
    <xf numFmtId="0" fontId="11" fillId="6" borderId="27" xfId="5" applyFont="1" applyFill="1" applyBorder="1" applyAlignment="1">
      <alignment horizontal="center" vertical="top" wrapText="1"/>
    </xf>
    <xf numFmtId="0" fontId="11" fillId="0" borderId="9" xfId="5" applyFont="1" applyBorder="1" applyAlignment="1">
      <alignment horizontal="left" vertical="top" shrinkToFit="1"/>
    </xf>
    <xf numFmtId="49" fontId="11" fillId="0" borderId="0" xfId="5" applyNumberFormat="1" applyFont="1" applyAlignment="1">
      <alignment vertical="top"/>
    </xf>
    <xf numFmtId="0" fontId="11" fillId="0" borderId="20" xfId="5" applyFont="1" applyBorder="1" applyAlignment="1">
      <alignment vertical="top"/>
    </xf>
    <xf numFmtId="49" fontId="20" fillId="0" borderId="1" xfId="5" applyNumberFormat="1" applyFont="1" applyBorder="1" applyAlignment="1">
      <alignment vertical="top"/>
    </xf>
    <xf numFmtId="49" fontId="11" fillId="0" borderId="3" xfId="5" applyNumberFormat="1" applyFont="1" applyBorder="1" applyAlignment="1">
      <alignment vertical="top"/>
    </xf>
    <xf numFmtId="49" fontId="11" fillId="0" borderId="4" xfId="5" applyNumberFormat="1" applyFont="1" applyBorder="1" applyAlignment="1">
      <alignment vertical="top"/>
    </xf>
    <xf numFmtId="49" fontId="11" fillId="0" borderId="4" xfId="5" applyNumberFormat="1" applyFont="1" applyBorder="1" applyAlignment="1">
      <alignment horizontal="left" vertical="top"/>
    </xf>
    <xf numFmtId="49" fontId="11" fillId="0" borderId="6" xfId="5" applyNumberFormat="1" applyFont="1" applyBorder="1" applyAlignment="1">
      <alignment horizontal="left" vertical="top"/>
    </xf>
    <xf numFmtId="49" fontId="11" fillId="0" borderId="8" xfId="5" applyNumberFormat="1" applyFont="1" applyBorder="1" applyAlignment="1">
      <alignment vertical="top"/>
    </xf>
    <xf numFmtId="0" fontId="16" fillId="0" borderId="22" xfId="0" applyFont="1" applyBorder="1" applyAlignment="1">
      <alignment horizontal="center" vertical="center"/>
    </xf>
    <xf numFmtId="165" fontId="10" fillId="0" borderId="33" xfId="3" quotePrefix="1" applyNumberFormat="1" applyFont="1" applyBorder="1" applyAlignment="1">
      <alignment horizontal="center" vertical="center"/>
    </xf>
    <xf numFmtId="49" fontId="10" fillId="0" borderId="23" xfId="3" applyNumberFormat="1" applyFont="1" applyBorder="1" applyAlignment="1">
      <alignment horizontal="center" vertical="center"/>
    </xf>
    <xf numFmtId="14" fontId="10" fillId="0" borderId="18" xfId="3" applyNumberFormat="1" applyFont="1" applyBorder="1" applyAlignment="1">
      <alignment horizontal="center" vertical="center" shrinkToFit="1"/>
    </xf>
    <xf numFmtId="0" fontId="10" fillId="0" borderId="18" xfId="3" applyFont="1" applyBorder="1" applyAlignment="1">
      <alignment horizontal="center" vertical="center"/>
    </xf>
    <xf numFmtId="0" fontId="10" fillId="0" borderId="23" xfId="3" applyFont="1" applyBorder="1" applyAlignment="1">
      <alignment horizontal="left" vertical="center"/>
    </xf>
    <xf numFmtId="0" fontId="10" fillId="0" borderId="23" xfId="3" applyFont="1" applyBorder="1" applyAlignment="1">
      <alignment vertical="center" wrapText="1"/>
    </xf>
    <xf numFmtId="0" fontId="10" fillId="0" borderId="23" xfId="3" applyFont="1" applyBorder="1" applyAlignment="1">
      <alignment horizontal="center" vertical="center"/>
    </xf>
    <xf numFmtId="0" fontId="23" fillId="0" borderId="0" xfId="3" applyFont="1">
      <alignment vertical="center"/>
    </xf>
    <xf numFmtId="0" fontId="11" fillId="0" borderId="0" xfId="3" applyFont="1" applyAlignment="1">
      <alignment horizontal="left" vertical="center"/>
    </xf>
    <xf numFmtId="14" fontId="11" fillId="0" borderId="38" xfId="3" applyNumberFormat="1" applyFont="1" applyBorder="1" applyAlignment="1">
      <alignment horizontal="center" vertical="center" shrinkToFit="1"/>
    </xf>
    <xf numFmtId="0" fontId="11" fillId="0" borderId="39" xfId="3" applyFont="1" applyBorder="1" applyAlignment="1">
      <alignment horizontal="center" vertical="center"/>
    </xf>
    <xf numFmtId="49" fontId="11" fillId="0" borderId="23" xfId="3" applyNumberFormat="1" applyFont="1" applyBorder="1" applyAlignment="1">
      <alignment horizontal="left" vertical="center"/>
    </xf>
    <xf numFmtId="0" fontId="11" fillId="0" borderId="23" xfId="3" applyFont="1" applyBorder="1">
      <alignment vertical="center"/>
    </xf>
    <xf numFmtId="0" fontId="11" fillId="0" borderId="23" xfId="3" applyFont="1" applyBorder="1" applyAlignment="1">
      <alignment horizontal="left" wrapText="1"/>
    </xf>
    <xf numFmtId="0" fontId="11" fillId="0" borderId="40" xfId="5" applyFont="1" applyBorder="1" applyAlignment="1">
      <alignment vertical="top" wrapText="1"/>
    </xf>
    <xf numFmtId="0" fontId="11" fillId="0" borderId="15" xfId="5" applyFont="1" applyBorder="1" applyAlignment="1">
      <alignment vertical="top" wrapText="1"/>
    </xf>
    <xf numFmtId="0" fontId="11" fillId="0" borderId="36" xfId="5" applyFont="1" applyBorder="1" applyAlignment="1">
      <alignment horizontal="left" vertical="top" wrapText="1" indent="2"/>
    </xf>
    <xf numFmtId="0" fontId="11" fillId="0" borderId="2" xfId="5" applyFont="1" applyBorder="1" applyAlignment="1">
      <alignment vertical="top"/>
    </xf>
    <xf numFmtId="0" fontId="11" fillId="0" borderId="41" xfId="5" applyFont="1" applyBorder="1" applyAlignment="1">
      <alignment vertical="top" wrapText="1"/>
    </xf>
    <xf numFmtId="49" fontId="20" fillId="4" borderId="4" xfId="7" applyNumberFormat="1" applyFont="1" applyFill="1" applyBorder="1" applyAlignment="1">
      <alignment vertical="top"/>
    </xf>
    <xf numFmtId="49" fontId="20" fillId="0" borderId="6" xfId="5" applyNumberFormat="1" applyFont="1" applyBorder="1" applyAlignment="1">
      <alignment vertical="top"/>
    </xf>
    <xf numFmtId="49" fontId="11" fillId="0" borderId="27" xfId="4" applyNumberFormat="1" applyFont="1" applyBorder="1" applyAlignment="1">
      <alignment vertical="top"/>
    </xf>
    <xf numFmtId="49" fontId="11" fillId="0" borderId="3" xfId="4" applyNumberFormat="1" applyFont="1" applyBorder="1" applyAlignment="1">
      <alignment vertical="top"/>
    </xf>
    <xf numFmtId="0" fontId="11" fillId="0" borderId="0" xfId="5" applyFont="1"/>
    <xf numFmtId="0" fontId="11" fillId="0" borderId="22" xfId="5" applyFont="1" applyBorder="1"/>
    <xf numFmtId="49" fontId="11" fillId="0" borderId="21" xfId="4" applyNumberFormat="1" applyFont="1" applyBorder="1" applyAlignment="1">
      <alignment vertical="top"/>
    </xf>
    <xf numFmtId="0" fontId="11" fillId="0" borderId="1" xfId="1" applyFont="1" applyBorder="1">
      <alignment vertical="center"/>
    </xf>
    <xf numFmtId="0" fontId="11" fillId="0" borderId="2" xfId="1" applyFont="1" applyBorder="1">
      <alignment vertical="center"/>
    </xf>
    <xf numFmtId="0" fontId="11" fillId="0" borderId="3" xfId="1" applyFont="1" applyBorder="1">
      <alignment vertical="center"/>
    </xf>
    <xf numFmtId="0" fontId="23" fillId="0" borderId="0" xfId="1" applyFont="1">
      <alignment vertical="center"/>
    </xf>
    <xf numFmtId="0" fontId="11" fillId="0" borderId="4" xfId="1" applyFont="1" applyBorder="1">
      <alignment vertical="center"/>
    </xf>
    <xf numFmtId="0" fontId="11" fillId="0" borderId="0" xfId="1" applyFont="1">
      <alignment vertical="center"/>
    </xf>
    <xf numFmtId="0" fontId="11" fillId="0" borderId="5" xfId="1" applyFont="1" applyBorder="1">
      <alignment vertical="center"/>
    </xf>
    <xf numFmtId="0" fontId="11" fillId="0" borderId="6" xfId="1" applyFont="1" applyBorder="1">
      <alignment vertical="center"/>
    </xf>
    <xf numFmtId="0" fontId="11" fillId="0" borderId="7" xfId="1" applyFont="1" applyBorder="1">
      <alignment vertical="center"/>
    </xf>
    <xf numFmtId="0" fontId="11" fillId="0" borderId="8" xfId="1" applyFont="1" applyBorder="1">
      <alignment vertical="center"/>
    </xf>
    <xf numFmtId="0" fontId="23" fillId="0" borderId="0" xfId="1" applyFont="1" applyAlignment="1"/>
    <xf numFmtId="0" fontId="11" fillId="0" borderId="10" xfId="1" applyFont="1" applyBorder="1">
      <alignment vertical="center"/>
    </xf>
    <xf numFmtId="0" fontId="23" fillId="0" borderId="9" xfId="1" applyFont="1" applyBorder="1">
      <alignment vertical="center"/>
    </xf>
    <xf numFmtId="0" fontId="23" fillId="0" borderId="10" xfId="1" applyFont="1" applyBorder="1">
      <alignment vertical="center"/>
    </xf>
    <xf numFmtId="0" fontId="26" fillId="0" borderId="1" xfId="3" applyFont="1" applyBorder="1">
      <alignment vertical="center"/>
    </xf>
    <xf numFmtId="0" fontId="23" fillId="0" borderId="2" xfId="3" applyFont="1" applyBorder="1">
      <alignment vertical="center"/>
    </xf>
    <xf numFmtId="0" fontId="23" fillId="0" borderId="4" xfId="3" applyFont="1" applyBorder="1">
      <alignment vertical="center"/>
    </xf>
    <xf numFmtId="0" fontId="11" fillId="0" borderId="0" xfId="3" applyFont="1" applyAlignment="1">
      <alignment horizontal="center" vertical="center"/>
    </xf>
    <xf numFmtId="165" fontId="11" fillId="0" borderId="35" xfId="3" applyNumberFormat="1" applyFont="1" applyBorder="1" applyAlignment="1">
      <alignment horizontal="center" vertical="center"/>
    </xf>
    <xf numFmtId="165" fontId="11" fillId="0" borderId="0" xfId="3" applyNumberFormat="1" applyFont="1" applyAlignment="1">
      <alignment horizontal="center" vertical="center"/>
    </xf>
    <xf numFmtId="49" fontId="11" fillId="0" borderId="0" xfId="3" applyNumberFormat="1" applyFont="1" applyAlignment="1">
      <alignment horizontal="center" vertical="center"/>
    </xf>
    <xf numFmtId="14" fontId="11" fillId="0" borderId="0" xfId="3" applyNumberFormat="1" applyFont="1" applyAlignment="1">
      <alignment horizontal="center" vertical="center" shrinkToFit="1"/>
    </xf>
    <xf numFmtId="0" fontId="11" fillId="0" borderId="0" xfId="3" applyFont="1">
      <alignment vertical="center"/>
    </xf>
    <xf numFmtId="0" fontId="10" fillId="5" borderId="0" xfId="9" applyFont="1" applyFill="1" applyAlignment="1">
      <alignment vertical="top"/>
    </xf>
    <xf numFmtId="0" fontId="10" fillId="5" borderId="22" xfId="9" applyFont="1" applyFill="1" applyBorder="1" applyAlignment="1">
      <alignment horizontal="left" vertical="top"/>
    </xf>
    <xf numFmtId="0" fontId="27" fillId="5" borderId="0" xfId="9" applyFont="1" applyFill="1" applyAlignment="1">
      <alignment vertical="top"/>
    </xf>
    <xf numFmtId="0" fontId="10" fillId="3" borderId="9" xfId="9" applyFont="1" applyFill="1" applyBorder="1" applyAlignment="1">
      <alignment vertical="top"/>
    </xf>
    <xf numFmtId="0" fontId="11" fillId="3" borderId="22" xfId="9" applyFont="1" applyFill="1" applyBorder="1" applyAlignment="1">
      <alignment vertical="top"/>
    </xf>
    <xf numFmtId="0" fontId="10" fillId="3" borderId="10" xfId="9" applyFont="1" applyFill="1" applyBorder="1" applyAlignment="1">
      <alignment vertical="top"/>
    </xf>
    <xf numFmtId="0" fontId="10" fillId="3" borderId="20" xfId="9" applyFont="1" applyFill="1" applyBorder="1" applyAlignment="1">
      <alignment vertical="top"/>
    </xf>
    <xf numFmtId="0" fontId="11" fillId="0" borderId="9" xfId="9" applyFont="1" applyBorder="1" applyAlignment="1">
      <alignment vertical="top"/>
    </xf>
    <xf numFmtId="0" fontId="10" fillId="0" borderId="9" xfId="9" applyFont="1" applyBorder="1" applyAlignment="1">
      <alignment vertical="top"/>
    </xf>
    <xf numFmtId="0" fontId="10" fillId="0" borderId="10" xfId="9" applyFont="1" applyBorder="1" applyAlignment="1">
      <alignment vertical="top"/>
    </xf>
    <xf numFmtId="0" fontId="10" fillId="0" borderId="20" xfId="9" applyFont="1" applyBorder="1" applyAlignment="1">
      <alignment vertical="top"/>
    </xf>
    <xf numFmtId="0" fontId="11" fillId="0" borderId="0" xfId="9" applyFont="1" applyAlignment="1">
      <alignment vertical="top"/>
    </xf>
    <xf numFmtId="0" fontId="11" fillId="0" borderId="22" xfId="9" applyFont="1" applyBorder="1" applyAlignment="1">
      <alignment vertical="top"/>
    </xf>
    <xf numFmtId="0" fontId="11" fillId="0" borderId="10" xfId="9" applyFont="1" applyBorder="1" applyAlignment="1">
      <alignment vertical="top"/>
    </xf>
    <xf numFmtId="0" fontId="20" fillId="5" borderId="0" xfId="9" applyFont="1" applyFill="1" applyAlignment="1">
      <alignment vertical="top"/>
    </xf>
    <xf numFmtId="0" fontId="28" fillId="0" borderId="0" xfId="0" applyFont="1"/>
    <xf numFmtId="0" fontId="11" fillId="3" borderId="9" xfId="9" applyFont="1" applyFill="1" applyBorder="1" applyAlignment="1">
      <alignment vertical="top"/>
    </xf>
    <xf numFmtId="0" fontId="11" fillId="3" borderId="10" xfId="9" applyFont="1" applyFill="1" applyBorder="1" applyAlignment="1">
      <alignment vertical="top"/>
    </xf>
    <xf numFmtId="0" fontId="11" fillId="3" borderId="20" xfId="9" applyFont="1" applyFill="1" applyBorder="1" applyAlignment="1">
      <alignment vertical="top"/>
    </xf>
    <xf numFmtId="0" fontId="11" fillId="5" borderId="9" xfId="9" applyFont="1" applyFill="1" applyBorder="1" applyAlignment="1">
      <alignment vertical="top"/>
    </xf>
    <xf numFmtId="0" fontId="11" fillId="10" borderId="9" xfId="9" applyFont="1" applyFill="1" applyBorder="1" applyAlignment="1">
      <alignment vertical="top"/>
    </xf>
    <xf numFmtId="0" fontId="11" fillId="5" borderId="10" xfId="9" applyFont="1" applyFill="1" applyBorder="1" applyAlignment="1">
      <alignment vertical="top"/>
    </xf>
    <xf numFmtId="0" fontId="11" fillId="5" borderId="22" xfId="9" applyFont="1" applyFill="1" applyBorder="1" applyAlignment="1">
      <alignment vertical="top"/>
    </xf>
    <xf numFmtId="0" fontId="11" fillId="5" borderId="20" xfId="9" applyFont="1" applyFill="1" applyBorder="1" applyAlignment="1">
      <alignment vertical="top"/>
    </xf>
    <xf numFmtId="0" fontId="11" fillId="5" borderId="0" xfId="9" applyFont="1" applyFill="1" applyAlignment="1">
      <alignment vertical="top"/>
    </xf>
    <xf numFmtId="0" fontId="10" fillId="3" borderId="22" xfId="9" applyFont="1" applyFill="1" applyBorder="1" applyAlignment="1">
      <alignment vertical="top"/>
    </xf>
    <xf numFmtId="0" fontId="10" fillId="5" borderId="0" xfId="9" applyFont="1" applyFill="1" applyAlignment="1">
      <alignment horizontal="right" vertical="top"/>
    </xf>
    <xf numFmtId="0" fontId="10" fillId="5" borderId="9" xfId="9" applyFont="1" applyFill="1" applyBorder="1" applyAlignment="1">
      <alignment vertical="top"/>
    </xf>
    <xf numFmtId="0" fontId="11" fillId="0" borderId="1" xfId="5" applyFont="1" applyBorder="1" applyAlignment="1">
      <alignment vertical="top" wrapText="1"/>
    </xf>
    <xf numFmtId="0" fontId="18" fillId="0" borderId="4" xfId="5" applyFont="1" applyBorder="1" applyAlignment="1">
      <alignment vertical="top" wrapText="1"/>
    </xf>
    <xf numFmtId="0" fontId="11" fillId="0" borderId="21" xfId="5" applyFont="1" applyBorder="1" applyAlignment="1">
      <alignment horizontal="left" vertical="top"/>
    </xf>
    <xf numFmtId="0" fontId="11" fillId="0" borderId="5" xfId="5" applyFont="1" applyBorder="1" applyAlignment="1">
      <alignment vertical="top"/>
    </xf>
    <xf numFmtId="0" fontId="11" fillId="0" borderId="21" xfId="5" applyFont="1" applyBorder="1" applyAlignment="1">
      <alignment vertical="top"/>
    </xf>
    <xf numFmtId="49" fontId="11" fillId="0" borderId="0" xfId="4" applyNumberFormat="1" applyFont="1">
      <alignment vertical="center"/>
    </xf>
    <xf numFmtId="0" fontId="11" fillId="0" borderId="9" xfId="4" applyFont="1" applyBorder="1" applyAlignment="1">
      <alignment vertical="center"/>
    </xf>
    <xf numFmtId="0" fontId="11" fillId="0" borderId="2" xfId="4" applyFont="1" applyBorder="1" applyAlignment="1">
      <alignment vertical="center"/>
    </xf>
    <xf numFmtId="0" fontId="11" fillId="0" borderId="2" xfId="4" applyFont="1" applyBorder="1" applyAlignment="1">
      <alignment vertical="center" wrapText="1"/>
    </xf>
    <xf numFmtId="0" fontId="11" fillId="0" borderId="0" xfId="4" applyFont="1" applyAlignment="1">
      <alignment vertical="center"/>
    </xf>
    <xf numFmtId="0" fontId="23" fillId="7" borderId="22" xfId="9" applyFont="1" applyFill="1" applyBorder="1" applyAlignment="1">
      <alignment horizontal="left" vertical="center"/>
    </xf>
    <xf numFmtId="0" fontId="23" fillId="0" borderId="22" xfId="9" applyFont="1" applyBorder="1" applyAlignment="1">
      <alignment horizontal="left" vertical="center"/>
    </xf>
    <xf numFmtId="0" fontId="11" fillId="3" borderId="1" xfId="4" applyFont="1" applyFill="1" applyBorder="1" applyAlignment="1">
      <alignment vertical="center"/>
    </xf>
    <xf numFmtId="0" fontId="23" fillId="5" borderId="22" xfId="9" applyFont="1" applyFill="1" applyBorder="1" applyAlignment="1">
      <alignment horizontal="left" vertical="center"/>
    </xf>
    <xf numFmtId="0" fontId="11" fillId="0" borderId="22" xfId="5" applyFont="1" applyBorder="1" applyAlignment="1">
      <alignment vertical="center"/>
    </xf>
    <xf numFmtId="0" fontId="11" fillId="0" borderId="22" xfId="4" applyFont="1" applyBorder="1" applyAlignment="1">
      <alignment vertical="center"/>
    </xf>
    <xf numFmtId="0" fontId="11" fillId="3" borderId="6" xfId="4" applyFont="1" applyFill="1" applyBorder="1" applyAlignment="1">
      <alignment vertical="center"/>
    </xf>
    <xf numFmtId="0" fontId="11" fillId="3" borderId="22" xfId="4" applyFont="1" applyFill="1" applyBorder="1" applyAlignment="1">
      <alignment horizontal="center" vertical="center" wrapText="1"/>
    </xf>
    <xf numFmtId="0" fontId="11" fillId="3" borderId="22" xfId="4" applyFont="1" applyFill="1" applyBorder="1" applyAlignment="1">
      <alignment horizontal="center" vertical="center"/>
    </xf>
    <xf numFmtId="0" fontId="11" fillId="0" borderId="22" xfId="5" applyFont="1" applyBorder="1" applyAlignment="1">
      <alignment horizontal="left" vertical="center"/>
    </xf>
    <xf numFmtId="0" fontId="11" fillId="0" borderId="22" xfId="4" applyFont="1" applyBorder="1" applyAlignment="1">
      <alignment horizontal="center" vertical="center"/>
    </xf>
    <xf numFmtId="0" fontId="11" fillId="8" borderId="19" xfId="4" applyFont="1" applyFill="1" applyBorder="1" applyAlignment="1">
      <alignment horizontal="left" vertical="center"/>
    </xf>
    <xf numFmtId="0" fontId="11" fillId="8" borderId="27" xfId="4" applyFont="1" applyFill="1" applyBorder="1" applyAlignment="1">
      <alignment horizontal="left" vertical="center" wrapText="1"/>
    </xf>
    <xf numFmtId="0" fontId="11" fillId="9" borderId="10" xfId="4" applyFont="1" applyFill="1" applyBorder="1" applyAlignment="1">
      <alignment vertical="center"/>
    </xf>
    <xf numFmtId="0" fontId="11" fillId="9" borderId="9" xfId="4" applyFont="1" applyFill="1" applyBorder="1" applyAlignment="1">
      <alignment vertical="center"/>
    </xf>
    <xf numFmtId="0" fontId="11" fillId="8" borderId="9" xfId="4" applyFont="1" applyFill="1" applyBorder="1" applyAlignment="1">
      <alignment vertical="center"/>
    </xf>
    <xf numFmtId="0" fontId="11" fillId="8" borderId="22" xfId="4" applyFont="1" applyFill="1" applyBorder="1" applyAlignment="1">
      <alignment vertical="center" wrapText="1"/>
    </xf>
    <xf numFmtId="0" fontId="11" fillId="8" borderId="22" xfId="4" applyFont="1" applyFill="1" applyBorder="1" applyAlignment="1">
      <alignment horizontal="left" vertical="center" wrapText="1"/>
    </xf>
    <xf numFmtId="0" fontId="11" fillId="8" borderId="10" xfId="4" quotePrefix="1" applyFont="1" applyFill="1" applyBorder="1" applyAlignment="1">
      <alignment vertical="center" wrapText="1"/>
    </xf>
    <xf numFmtId="49" fontId="11" fillId="8" borderId="22" xfId="4" applyNumberFormat="1" applyFont="1" applyFill="1" applyBorder="1" applyAlignment="1">
      <alignment vertical="center" wrapText="1" shrinkToFit="1"/>
    </xf>
    <xf numFmtId="0" fontId="11" fillId="8" borderId="22" xfId="4" applyFont="1" applyFill="1" applyBorder="1" applyAlignment="1">
      <alignment vertical="center"/>
    </xf>
    <xf numFmtId="0" fontId="11" fillId="8" borderId="9" xfId="4" applyFont="1" applyFill="1" applyBorder="1" applyAlignment="1">
      <alignment horizontal="left" vertical="center" wrapText="1"/>
    </xf>
    <xf numFmtId="0" fontId="11" fillId="0" borderId="0" xfId="4" applyFont="1" applyAlignment="1">
      <alignment horizontal="left" vertical="center"/>
    </xf>
    <xf numFmtId="0" fontId="11" fillId="8" borderId="21" xfId="4" applyFont="1" applyFill="1" applyBorder="1" applyAlignment="1">
      <alignment horizontal="center" vertical="center"/>
    </xf>
    <xf numFmtId="0" fontId="11" fillId="0" borderId="22" xfId="4" applyFont="1" applyBorder="1" applyAlignment="1">
      <alignment horizontal="left" vertical="center" wrapText="1"/>
    </xf>
    <xf numFmtId="0" fontId="11" fillId="0" borderId="10" xfId="4" applyFont="1" applyBorder="1" applyAlignment="1">
      <alignment vertical="center" wrapText="1"/>
    </xf>
    <xf numFmtId="0" fontId="11" fillId="0" borderId="22" xfId="4" applyFont="1" applyBorder="1" applyAlignment="1">
      <alignment vertical="center" wrapText="1"/>
    </xf>
    <xf numFmtId="49" fontId="11" fillId="0" borderId="22" xfId="4" applyNumberFormat="1" applyFont="1" applyBorder="1" applyAlignment="1">
      <alignment vertical="center" wrapText="1" shrinkToFit="1"/>
    </xf>
    <xf numFmtId="0" fontId="11" fillId="0" borderId="22" xfId="4" applyFont="1" applyBorder="1" applyAlignment="1">
      <alignment horizontal="left" vertical="center"/>
    </xf>
    <xf numFmtId="0" fontId="11" fillId="0" borderId="10" xfId="4" applyFont="1" applyBorder="1" applyAlignment="1">
      <alignment vertical="center"/>
    </xf>
    <xf numFmtId="0" fontId="11" fillId="0" borderId="10" xfId="4" quotePrefix="1" applyFont="1" applyBorder="1" applyAlignment="1">
      <alignment vertical="center" wrapText="1"/>
    </xf>
    <xf numFmtId="49" fontId="11" fillId="0" borderId="22" xfId="4" applyNumberFormat="1" applyFont="1" applyBorder="1" applyAlignment="1">
      <alignment vertical="center" shrinkToFit="1"/>
    </xf>
    <xf numFmtId="0" fontId="11" fillId="0" borderId="22" xfId="4" quotePrefix="1" applyFont="1" applyBorder="1" applyAlignment="1">
      <alignment vertical="center"/>
    </xf>
    <xf numFmtId="0" fontId="11" fillId="0" borderId="27" xfId="4" applyFont="1" applyBorder="1" applyAlignment="1">
      <alignment horizontal="left" vertical="center" wrapText="1"/>
    </xf>
    <xf numFmtId="0" fontId="11" fillId="8" borderId="21" xfId="4" applyFont="1" applyFill="1" applyBorder="1" applyAlignment="1">
      <alignment horizontal="left" vertical="center"/>
    </xf>
    <xf numFmtId="0" fontId="11" fillId="0" borderId="0" xfId="5" applyFont="1" applyAlignment="1">
      <alignment horizontal="left" vertical="center"/>
    </xf>
    <xf numFmtId="0" fontId="11" fillId="0" borderId="0" xfId="5" applyFont="1" applyAlignment="1">
      <alignment vertical="center"/>
    </xf>
    <xf numFmtId="0" fontId="11" fillId="0" borderId="19" xfId="4" applyFont="1" applyBorder="1" applyAlignment="1">
      <alignment horizontal="left" vertical="center" wrapText="1"/>
    </xf>
    <xf numFmtId="49" fontId="29" fillId="0" borderId="22" xfId="4" applyNumberFormat="1" applyFont="1" applyBorder="1" applyAlignment="1">
      <alignment vertical="center" shrinkToFit="1"/>
    </xf>
    <xf numFmtId="0" fontId="29" fillId="0" borderId="22" xfId="5" quotePrefix="1" applyFont="1" applyBorder="1" applyAlignment="1">
      <alignment horizontal="left" vertical="top" wrapText="1"/>
    </xf>
    <xf numFmtId="0" fontId="11" fillId="0" borderId="4" xfId="5" applyFont="1" applyBorder="1"/>
    <xf numFmtId="0" fontId="11" fillId="3" borderId="9" xfId="5" applyFont="1" applyFill="1" applyBorder="1" applyAlignment="1">
      <alignment vertical="center"/>
    </xf>
    <xf numFmtId="0" fontId="11" fillId="3" borderId="20" xfId="5" applyFont="1" applyFill="1" applyBorder="1" applyAlignment="1">
      <alignment vertical="center"/>
    </xf>
    <xf numFmtId="0" fontId="10" fillId="3" borderId="9" xfId="4" applyFont="1" applyFill="1" applyBorder="1">
      <alignment vertical="center"/>
    </xf>
    <xf numFmtId="0" fontId="10" fillId="3" borderId="10" xfId="4" applyFont="1" applyFill="1" applyBorder="1">
      <alignment vertical="center"/>
    </xf>
    <xf numFmtId="0" fontId="10" fillId="3" borderId="20" xfId="4" applyFont="1" applyFill="1" applyBorder="1">
      <alignment vertical="center"/>
    </xf>
    <xf numFmtId="0" fontId="10" fillId="0" borderId="0" xfId="14" applyFont="1" applyAlignment="1">
      <alignment horizontal="left" vertical="center"/>
    </xf>
    <xf numFmtId="0" fontId="11" fillId="4" borderId="9" xfId="5" applyFont="1" applyFill="1" applyBorder="1" applyAlignment="1">
      <alignment vertical="center"/>
    </xf>
    <xf numFmtId="0" fontId="11" fillId="4" borderId="10" xfId="5" applyFont="1" applyFill="1" applyBorder="1" applyAlignment="1">
      <alignment vertical="center"/>
    </xf>
    <xf numFmtId="0" fontId="11" fillId="4" borderId="20" xfId="5" applyFont="1" applyFill="1" applyBorder="1" applyAlignment="1">
      <alignment vertical="center"/>
    </xf>
    <xf numFmtId="0" fontId="11" fillId="0" borderId="9" xfId="5" quotePrefix="1" applyFont="1" applyBorder="1" applyAlignment="1">
      <alignment vertical="center"/>
    </xf>
    <xf numFmtId="0" fontId="11" fillId="0" borderId="10" xfId="5" applyFont="1" applyBorder="1" applyAlignment="1">
      <alignment vertical="center"/>
    </xf>
    <xf numFmtId="0" fontId="11" fillId="0" borderId="20" xfId="5" applyFont="1" applyBorder="1" applyAlignment="1">
      <alignment vertical="center"/>
    </xf>
    <xf numFmtId="0" fontId="11" fillId="0" borderId="9" xfId="5" applyFont="1" applyBorder="1" applyAlignment="1">
      <alignment vertical="center"/>
    </xf>
    <xf numFmtId="0" fontId="11" fillId="0" borderId="9" xfId="4" applyFont="1" applyBorder="1">
      <alignment vertical="center"/>
    </xf>
    <xf numFmtId="0" fontId="11" fillId="0" borderId="10" xfId="4" applyFont="1" applyBorder="1">
      <alignment vertical="center"/>
    </xf>
    <xf numFmtId="0" fontId="11" fillId="0" borderId="20" xfId="4" applyFont="1" applyBorder="1">
      <alignment vertical="center"/>
    </xf>
    <xf numFmtId="0" fontId="18" fillId="0" borderId="22" xfId="5" applyFont="1" applyBorder="1" applyAlignment="1">
      <alignment horizontal="left" vertical="center"/>
    </xf>
    <xf numFmtId="0" fontId="11" fillId="4" borderId="2" xfId="5" applyFont="1" applyFill="1" applyBorder="1"/>
    <xf numFmtId="0" fontId="11" fillId="0" borderId="2" xfId="4" applyFont="1" applyBorder="1">
      <alignment vertical="center"/>
    </xf>
    <xf numFmtId="0" fontId="11" fillId="0" borderId="2" xfId="5" applyFont="1" applyBorder="1"/>
    <xf numFmtId="0" fontId="11" fillId="0" borderId="22" xfId="4" quotePrefix="1" applyFont="1" applyBorder="1" applyAlignment="1">
      <alignment vertical="center" wrapText="1"/>
    </xf>
    <xf numFmtId="0" fontId="11" fillId="0" borderId="27" xfId="4" applyFont="1" applyFill="1" applyBorder="1" applyAlignment="1">
      <alignment horizontal="left" vertical="center" wrapText="1"/>
    </xf>
    <xf numFmtId="0" fontId="11" fillId="0" borderId="10" xfId="4" applyFont="1" applyFill="1" applyBorder="1" applyAlignment="1">
      <alignment vertical="center"/>
    </xf>
    <xf numFmtId="0" fontId="11" fillId="0" borderId="9" xfId="4" applyFont="1" applyFill="1" applyBorder="1" applyAlignment="1">
      <alignment vertical="center"/>
    </xf>
    <xf numFmtId="0" fontId="11" fillId="0" borderId="22" xfId="4" applyFont="1" applyFill="1" applyBorder="1" applyAlignment="1">
      <alignment vertical="center" wrapText="1"/>
    </xf>
    <xf numFmtId="0" fontId="11" fillId="0" borderId="22" xfId="4" applyFont="1" applyFill="1" applyBorder="1" applyAlignment="1">
      <alignment horizontal="left" vertical="center" wrapText="1"/>
    </xf>
    <xf numFmtId="0" fontId="11" fillId="0" borderId="10" xfId="4" quotePrefix="1" applyFont="1" applyFill="1" applyBorder="1" applyAlignment="1">
      <alignment vertical="center" wrapText="1"/>
    </xf>
    <xf numFmtId="49" fontId="11" fillId="0" borderId="22" xfId="4" applyNumberFormat="1" applyFont="1" applyFill="1" applyBorder="1" applyAlignment="1">
      <alignment vertical="center" wrapText="1" shrinkToFit="1"/>
    </xf>
    <xf numFmtId="0" fontId="11" fillId="0" borderId="22" xfId="4" applyFont="1" applyFill="1" applyBorder="1" applyAlignment="1">
      <alignment vertical="center"/>
    </xf>
    <xf numFmtId="0" fontId="11" fillId="0" borderId="9" xfId="4" applyFont="1" applyFill="1" applyBorder="1" applyAlignment="1">
      <alignment horizontal="left" vertical="center" wrapText="1"/>
    </xf>
    <xf numFmtId="0" fontId="11" fillId="0" borderId="22" xfId="4" applyFont="1" applyFill="1" applyBorder="1" applyAlignment="1">
      <alignment horizontal="center" vertical="center"/>
    </xf>
    <xf numFmtId="0" fontId="11" fillId="0" borderId="9" xfId="4" quotePrefix="1" applyFont="1" applyBorder="1" applyAlignment="1">
      <alignment vertical="center"/>
    </xf>
    <xf numFmtId="0" fontId="11" fillId="0" borderId="22" xfId="4" quotePrefix="1" applyFont="1" applyFill="1" applyBorder="1" applyAlignment="1">
      <alignment horizontal="left" vertical="center" wrapText="1"/>
    </xf>
    <xf numFmtId="0" fontId="11" fillId="0" borderId="42" xfId="5" applyFont="1" applyBorder="1" applyAlignment="1">
      <alignment vertical="top"/>
    </xf>
    <xf numFmtId="0" fontId="11" fillId="0" borderId="44" xfId="5" applyFont="1" applyBorder="1" applyAlignment="1">
      <alignment vertical="top" wrapText="1"/>
    </xf>
    <xf numFmtId="0" fontId="11" fillId="0" borderId="4" xfId="7" quotePrefix="1" applyFont="1" applyBorder="1" applyAlignment="1">
      <alignment horizontal="left" vertical="top"/>
    </xf>
    <xf numFmtId="0" fontId="11" fillId="0" borderId="43" xfId="5" applyFont="1" applyBorder="1" applyAlignment="1">
      <alignment horizontal="left" vertical="top" wrapText="1"/>
    </xf>
    <xf numFmtId="0" fontId="11" fillId="0" borderId="44" xfId="5" applyFont="1" applyBorder="1" applyAlignment="1">
      <alignment vertical="top"/>
    </xf>
    <xf numFmtId="0" fontId="11" fillId="0" borderId="43" xfId="5" applyFont="1" applyBorder="1" applyAlignment="1">
      <alignment horizontal="left" vertical="top" wrapText="1" indent="1"/>
    </xf>
    <xf numFmtId="0" fontId="32" fillId="0" borderId="7" xfId="5" applyFont="1" applyFill="1" applyBorder="1" applyAlignment="1">
      <alignment horizontal="left"/>
    </xf>
    <xf numFmtId="0" fontId="32" fillId="0" borderId="7" xfId="5" applyFont="1" applyFill="1" applyBorder="1"/>
    <xf numFmtId="0" fontId="33" fillId="0" borderId="6" xfId="4" applyFont="1" applyFill="1" applyBorder="1">
      <alignment vertical="center"/>
    </xf>
    <xf numFmtId="49" fontId="11" fillId="0" borderId="5" xfId="4" applyNumberFormat="1" applyFont="1" applyBorder="1" applyAlignment="1">
      <alignment horizontal="left" vertical="top" indent="1"/>
    </xf>
    <xf numFmtId="49" fontId="11" fillId="0" borderId="0" xfId="4" applyNumberFormat="1" applyFont="1" applyAlignment="1">
      <alignment vertical="top" wrapText="1"/>
    </xf>
    <xf numFmtId="0" fontId="11" fillId="3" borderId="10" xfId="5" applyFont="1" applyFill="1" applyBorder="1" applyAlignment="1">
      <alignment vertical="top"/>
    </xf>
    <xf numFmtId="0" fontId="11" fillId="0" borderId="40" xfId="5" applyFont="1" applyBorder="1" applyAlignment="1">
      <alignment vertical="top"/>
    </xf>
    <xf numFmtId="0" fontId="11" fillId="0" borderId="45" xfId="5" applyFont="1" applyBorder="1" applyAlignment="1">
      <alignment vertical="top"/>
    </xf>
    <xf numFmtId="0" fontId="11" fillId="0" borderId="46" xfId="5" applyFont="1" applyBorder="1" applyAlignment="1">
      <alignment vertical="top"/>
    </xf>
    <xf numFmtId="0" fontId="11" fillId="0" borderId="33" xfId="5" applyFont="1" applyBorder="1" applyAlignment="1">
      <alignment vertical="top"/>
    </xf>
    <xf numFmtId="0" fontId="11" fillId="0" borderId="37" xfId="5" applyFont="1" applyBorder="1" applyAlignment="1">
      <alignment vertical="top"/>
    </xf>
    <xf numFmtId="0" fontId="11" fillId="0" borderId="36" xfId="5" applyFont="1" applyBorder="1" applyAlignment="1">
      <alignment vertical="top"/>
    </xf>
    <xf numFmtId="0" fontId="11" fillId="0" borderId="43" xfId="5" applyFont="1" applyBorder="1" applyAlignment="1">
      <alignment vertical="top"/>
    </xf>
    <xf numFmtId="0" fontId="11" fillId="0" borderId="47" xfId="5" applyFont="1" applyBorder="1" applyAlignment="1">
      <alignment vertical="top"/>
    </xf>
    <xf numFmtId="0" fontId="11" fillId="0" borderId="48" xfId="5" applyFont="1" applyBorder="1" applyAlignment="1">
      <alignment vertical="top"/>
    </xf>
    <xf numFmtId="0" fontId="11" fillId="0" borderId="33" xfId="5" applyFont="1" applyBorder="1" applyAlignment="1">
      <alignment horizontal="left" vertical="top" wrapText="1" indent="2"/>
    </xf>
    <xf numFmtId="0" fontId="11" fillId="0" borderId="43" xfId="5" applyFont="1" applyBorder="1" applyAlignment="1">
      <alignment horizontal="left" vertical="top" indent="1"/>
    </xf>
    <xf numFmtId="0" fontId="11" fillId="0" borderId="36" xfId="5" applyFont="1" applyBorder="1" applyAlignment="1">
      <alignment horizontal="left" vertical="top" indent="1"/>
    </xf>
    <xf numFmtId="0" fontId="11" fillId="0" borderId="43" xfId="5" applyFont="1" applyBorder="1" applyAlignment="1">
      <alignment horizontal="left" vertical="top"/>
    </xf>
    <xf numFmtId="0" fontId="10" fillId="0" borderId="5" xfId="0" applyFont="1" applyBorder="1" applyAlignment="1">
      <alignment vertical="center"/>
    </xf>
    <xf numFmtId="0" fontId="11" fillId="0" borderId="47" xfId="5" applyFont="1" applyBorder="1" applyAlignment="1">
      <alignment horizontal="left" vertical="top" indent="1"/>
    </xf>
    <xf numFmtId="0" fontId="11" fillId="0" borderId="0" xfId="5" quotePrefix="1" applyFont="1" applyAlignment="1">
      <alignment vertical="top"/>
    </xf>
    <xf numFmtId="0" fontId="34" fillId="0" borderId="0" xfId="5" applyFont="1"/>
    <xf numFmtId="0" fontId="34" fillId="0" borderId="4" xfId="5" applyFont="1" applyBorder="1" applyAlignment="1">
      <alignment vertical="top"/>
    </xf>
    <xf numFmtId="0" fontId="34" fillId="0" borderId="0" xfId="5" applyFont="1" applyFill="1" applyBorder="1" applyAlignment="1">
      <alignment vertical="top"/>
    </xf>
    <xf numFmtId="0" fontId="34" fillId="0" borderId="0" xfId="5" applyFont="1" applyBorder="1"/>
    <xf numFmtId="0" fontId="34" fillId="0" borderId="0" xfId="5" applyFont="1" applyBorder="1" applyAlignment="1">
      <alignment vertical="top"/>
    </xf>
    <xf numFmtId="0" fontId="34" fillId="0" borderId="4" xfId="5" applyFont="1" applyFill="1" applyBorder="1" applyAlignment="1">
      <alignment vertical="top"/>
    </xf>
    <xf numFmtId="0" fontId="36" fillId="0" borderId="0" xfId="4" applyFont="1" applyBorder="1">
      <alignment vertical="center"/>
    </xf>
    <xf numFmtId="0" fontId="34" fillId="0" borderId="0" xfId="4" applyFont="1" applyBorder="1">
      <alignment vertical="center"/>
    </xf>
    <xf numFmtId="0" fontId="35" fillId="4" borderId="0" xfId="5" applyFont="1" applyFill="1" applyBorder="1"/>
    <xf numFmtId="0" fontId="34" fillId="4" borderId="0" xfId="5" applyFont="1" applyFill="1" applyBorder="1"/>
    <xf numFmtId="0" fontId="35" fillId="0" borderId="4" xfId="4" applyFont="1" applyBorder="1">
      <alignment vertical="center"/>
    </xf>
    <xf numFmtId="0" fontId="35" fillId="0" borderId="0" xfId="4" applyFont="1" applyBorder="1">
      <alignment vertical="center"/>
    </xf>
    <xf numFmtId="0" fontId="35" fillId="0" borderId="0" xfId="4" applyFont="1">
      <alignment vertical="center"/>
    </xf>
    <xf numFmtId="0" fontId="35" fillId="4" borderId="0" xfId="5" applyFont="1" applyFill="1" applyBorder="1" applyAlignment="1">
      <alignment vertical="top"/>
    </xf>
    <xf numFmtId="0" fontId="34" fillId="4" borderId="4" xfId="5" applyFont="1" applyFill="1" applyBorder="1" applyAlignment="1">
      <alignment vertical="top"/>
    </xf>
    <xf numFmtId="0" fontId="34" fillId="4" borderId="0" xfId="5" applyFont="1" applyFill="1" applyBorder="1" applyAlignment="1">
      <alignment vertical="top"/>
    </xf>
    <xf numFmtId="0" fontId="36" fillId="4" borderId="0" xfId="5" applyFont="1" applyFill="1" applyBorder="1"/>
    <xf numFmtId="0" fontId="35" fillId="3" borderId="19" xfId="4" applyFont="1" applyFill="1" applyBorder="1" applyAlignment="1">
      <alignment horizontal="center" vertical="center"/>
    </xf>
    <xf numFmtId="0" fontId="35" fillId="3" borderId="1" xfId="4" applyFont="1" applyFill="1" applyBorder="1" applyAlignment="1">
      <alignment horizontal="center" vertical="center"/>
    </xf>
    <xf numFmtId="0" fontId="34" fillId="10" borderId="22" xfId="4" applyFont="1" applyFill="1" applyBorder="1" applyAlignment="1">
      <alignment horizontal="center" vertical="center"/>
    </xf>
    <xf numFmtId="0" fontId="35" fillId="10" borderId="22" xfId="4" applyFont="1" applyFill="1" applyBorder="1">
      <alignment vertical="center"/>
    </xf>
    <xf numFmtId="0" fontId="35" fillId="10" borderId="10" xfId="4" applyFont="1" applyFill="1" applyBorder="1">
      <alignment vertical="center"/>
    </xf>
    <xf numFmtId="0" fontId="34" fillId="10" borderId="22" xfId="4" applyFont="1" applyFill="1" applyBorder="1">
      <alignment vertical="center"/>
    </xf>
    <xf numFmtId="0" fontId="35" fillId="10" borderId="2" xfId="4" applyFont="1" applyFill="1" applyBorder="1">
      <alignment vertical="center"/>
    </xf>
    <xf numFmtId="0" fontId="34" fillId="10" borderId="2" xfId="4" applyFont="1" applyFill="1" applyBorder="1">
      <alignment vertical="center"/>
    </xf>
    <xf numFmtId="0" fontId="34" fillId="11" borderId="22" xfId="4" applyFont="1" applyFill="1" applyBorder="1" applyAlignment="1">
      <alignment horizontal="center" vertical="center"/>
    </xf>
    <xf numFmtId="0" fontId="34" fillId="11" borderId="4" xfId="4" applyFont="1" applyFill="1" applyBorder="1">
      <alignment vertical="center"/>
    </xf>
    <xf numFmtId="0" fontId="35" fillId="11" borderId="2" xfId="4" applyFont="1" applyFill="1" applyBorder="1">
      <alignment vertical="center"/>
    </xf>
    <xf numFmtId="0" fontId="34" fillId="11" borderId="2" xfId="4" applyFont="1" applyFill="1" applyBorder="1">
      <alignment vertical="center"/>
    </xf>
    <xf numFmtId="0" fontId="34" fillId="11" borderId="22" xfId="4" applyFont="1" applyFill="1" applyBorder="1">
      <alignment vertical="center"/>
    </xf>
    <xf numFmtId="49" fontId="35" fillId="11" borderId="9" xfId="4" applyNumberFormat="1" applyFont="1" applyFill="1" applyBorder="1" applyAlignment="1">
      <alignment horizontal="left" vertical="center"/>
    </xf>
    <xf numFmtId="49" fontId="35" fillId="11" borderId="10" xfId="4" applyNumberFormat="1" applyFont="1" applyFill="1" applyBorder="1" applyAlignment="1">
      <alignment horizontal="left" vertical="center"/>
    </xf>
    <xf numFmtId="49" fontId="35" fillId="11" borderId="20" xfId="4" applyNumberFormat="1" applyFont="1" applyFill="1" applyBorder="1" applyAlignment="1">
      <alignment horizontal="left" vertical="center"/>
    </xf>
    <xf numFmtId="0" fontId="34" fillId="11" borderId="9" xfId="4" applyFont="1" applyFill="1" applyBorder="1" applyAlignment="1">
      <alignment horizontal="left" vertical="center"/>
    </xf>
    <xf numFmtId="0" fontId="34" fillId="11" borderId="10" xfId="4" applyFont="1" applyFill="1" applyBorder="1" applyAlignment="1">
      <alignment horizontal="left" vertical="center"/>
    </xf>
    <xf numFmtId="0" fontId="34" fillId="11" borderId="20" xfId="4" applyFont="1" applyFill="1" applyBorder="1" applyAlignment="1">
      <alignment horizontal="left" vertical="center"/>
    </xf>
    <xf numFmtId="0" fontId="35" fillId="11" borderId="1" xfId="4" applyFont="1" applyFill="1" applyBorder="1" applyAlignment="1">
      <alignment horizontal="left" vertical="center"/>
    </xf>
    <xf numFmtId="0" fontId="35" fillId="11" borderId="2" xfId="4" applyFont="1" applyFill="1" applyBorder="1" applyAlignment="1">
      <alignment horizontal="left" vertical="center"/>
    </xf>
    <xf numFmtId="0" fontId="35" fillId="11" borderId="3" xfId="4" applyFont="1" applyFill="1" applyBorder="1" applyAlignment="1">
      <alignment horizontal="left" vertical="center"/>
    </xf>
    <xf numFmtId="0" fontId="34" fillId="0" borderId="22" xfId="4" applyFont="1" applyFill="1" applyBorder="1" applyAlignment="1">
      <alignment horizontal="center" vertical="center"/>
    </xf>
    <xf numFmtId="0" fontId="35" fillId="0" borderId="2" xfId="4" applyFont="1" applyFill="1" applyBorder="1">
      <alignment vertical="center"/>
    </xf>
    <xf numFmtId="0" fontId="34" fillId="0" borderId="2" xfId="4" applyFont="1" applyFill="1" applyBorder="1">
      <alignment vertical="center"/>
    </xf>
    <xf numFmtId="0" fontId="34" fillId="0" borderId="22" xfId="4" applyFont="1" applyBorder="1">
      <alignment vertical="center"/>
    </xf>
    <xf numFmtId="0" fontId="34" fillId="0" borderId="9" xfId="4" applyFont="1" applyBorder="1">
      <alignment vertical="center"/>
    </xf>
    <xf numFmtId="0" fontId="34" fillId="0" borderId="10" xfId="4" applyFont="1" applyBorder="1">
      <alignment vertical="center"/>
    </xf>
    <xf numFmtId="0" fontId="34" fillId="0" borderId="20" xfId="4" applyFont="1" applyBorder="1">
      <alignment vertical="center"/>
    </xf>
    <xf numFmtId="0" fontId="35" fillId="0" borderId="1" xfId="4" applyFont="1" applyBorder="1" applyAlignment="1">
      <alignment horizontal="left" vertical="center"/>
    </xf>
    <xf numFmtId="0" fontId="35" fillId="0" borderId="2" xfId="4" applyFont="1" applyBorder="1" applyAlignment="1">
      <alignment horizontal="left" vertical="center"/>
    </xf>
    <xf numFmtId="0" fontId="35" fillId="0" borderId="3" xfId="4" applyFont="1" applyBorder="1" applyAlignment="1">
      <alignment horizontal="left" vertical="center"/>
    </xf>
    <xf numFmtId="0" fontId="35" fillId="0" borderId="10" xfId="4" applyFont="1" applyFill="1" applyBorder="1">
      <alignment vertical="center"/>
    </xf>
    <xf numFmtId="0" fontId="34" fillId="0" borderId="10" xfId="4" applyFont="1" applyFill="1" applyBorder="1">
      <alignment vertical="center"/>
    </xf>
    <xf numFmtId="0" fontId="35" fillId="0" borderId="9" xfId="4" applyFont="1" applyBorder="1" applyAlignment="1">
      <alignment horizontal="left" vertical="center"/>
    </xf>
    <xf numFmtId="0" fontId="35" fillId="0" borderId="10" xfId="4" applyFont="1" applyBorder="1" applyAlignment="1">
      <alignment horizontal="left" vertical="center"/>
    </xf>
    <xf numFmtId="0" fontId="35" fillId="0" borderId="20" xfId="4" applyFont="1" applyBorder="1" applyAlignment="1">
      <alignment horizontal="left" vertical="center"/>
    </xf>
    <xf numFmtId="0" fontId="11" fillId="0" borderId="9" xfId="9" quotePrefix="1" applyFont="1" applyBorder="1" applyAlignment="1">
      <alignment vertical="top"/>
    </xf>
    <xf numFmtId="0" fontId="11" fillId="0" borderId="9" xfId="4" quotePrefix="1" applyFont="1" applyFill="1" applyBorder="1" applyAlignment="1">
      <alignment vertical="center"/>
    </xf>
    <xf numFmtId="0" fontId="11" fillId="0" borderId="4" xfId="5" applyFont="1" applyBorder="1" applyAlignment="1">
      <alignment vertical="top"/>
    </xf>
    <xf numFmtId="14" fontId="11" fillId="0" borderId="12" xfId="1" quotePrefix="1" applyNumberFormat="1" applyFont="1" applyBorder="1" applyAlignment="1">
      <alignment horizontal="left" vertical="center"/>
    </xf>
    <xf numFmtId="14" fontId="11" fillId="0" borderId="13" xfId="1" applyNumberFormat="1" applyFont="1" applyBorder="1" applyAlignment="1">
      <alignment horizontal="left" vertical="center"/>
    </xf>
    <xf numFmtId="14" fontId="11" fillId="0" borderId="14" xfId="1" applyNumberFormat="1" applyFont="1" applyBorder="1" applyAlignment="1">
      <alignment horizontal="left" vertical="center"/>
    </xf>
    <xf numFmtId="0" fontId="25" fillId="0" borderId="0" xfId="1" applyFont="1" applyAlignment="1">
      <alignment horizontal="center" vertical="top" wrapText="1"/>
    </xf>
    <xf numFmtId="164" fontId="25" fillId="0" borderId="0" xfId="1" applyNumberFormat="1" applyFont="1" applyAlignment="1">
      <alignment horizontal="center" vertical="center"/>
    </xf>
    <xf numFmtId="14" fontId="25" fillId="0" borderId="0" xfId="1" applyNumberFormat="1" applyFont="1" applyAlignment="1">
      <alignment horizontal="center" vertical="center"/>
    </xf>
    <xf numFmtId="0" fontId="11" fillId="0" borderId="9" xfId="1" applyFont="1" applyBorder="1" applyAlignment="1">
      <alignment vertical="center"/>
    </xf>
    <xf numFmtId="0" fontId="11" fillId="0" borderId="10" xfId="1" applyFont="1" applyBorder="1" applyAlignment="1">
      <alignment vertical="center"/>
    </xf>
    <xf numFmtId="0" fontId="11" fillId="0" borderId="11" xfId="1" applyFont="1" applyBorder="1" applyAlignment="1">
      <alignment vertical="center"/>
    </xf>
    <xf numFmtId="0" fontId="11" fillId="0" borderId="12" xfId="2" applyFont="1" applyBorder="1" applyAlignment="1">
      <alignment vertical="center" wrapText="1"/>
    </xf>
    <xf numFmtId="0" fontId="11" fillId="0" borderId="13" xfId="2" applyFont="1" applyBorder="1" applyAlignment="1">
      <alignment vertical="center" wrapText="1"/>
    </xf>
    <xf numFmtId="0" fontId="11" fillId="0" borderId="14" xfId="2" applyFont="1" applyBorder="1" applyAlignment="1">
      <alignment vertical="center" wrapText="1"/>
    </xf>
    <xf numFmtId="0" fontId="11" fillId="3" borderId="22" xfId="4" applyFont="1" applyFill="1" applyBorder="1" applyAlignment="1">
      <alignment horizontal="center" vertical="center" wrapText="1"/>
    </xf>
    <xf numFmtId="0" fontId="11" fillId="3" borderId="22" xfId="4" applyFont="1" applyFill="1" applyBorder="1" applyAlignment="1">
      <alignment vertical="center"/>
    </xf>
    <xf numFmtId="0" fontId="11" fillId="3" borderId="20" xfId="4" applyFont="1" applyFill="1" applyBorder="1" applyAlignment="1">
      <alignment horizontal="center" vertical="center"/>
    </xf>
    <xf numFmtId="0" fontId="11" fillId="3" borderId="22" xfId="4" applyFont="1" applyFill="1" applyBorder="1" applyAlignment="1">
      <alignment horizontal="center" vertical="center"/>
    </xf>
    <xf numFmtId="0" fontId="11" fillId="3" borderId="9" xfId="4" applyFont="1" applyFill="1" applyBorder="1" applyAlignment="1">
      <alignment horizontal="center" vertical="center"/>
    </xf>
    <xf numFmtId="0" fontId="11" fillId="3" borderId="20" xfId="4" applyFont="1" applyFill="1" applyBorder="1" applyAlignment="1">
      <alignment horizontal="center" vertical="center" wrapText="1"/>
    </xf>
    <xf numFmtId="0" fontId="11" fillId="3" borderId="19" xfId="4" applyFont="1" applyFill="1" applyBorder="1" applyAlignment="1">
      <alignment horizontal="center" vertical="center"/>
    </xf>
    <xf numFmtId="0" fontId="11" fillId="3" borderId="27" xfId="4" applyFont="1" applyFill="1" applyBorder="1" applyAlignment="1">
      <alignment horizontal="center" vertical="center"/>
    </xf>
    <xf numFmtId="0" fontId="11" fillId="3" borderId="3" xfId="4" applyFont="1" applyFill="1" applyBorder="1" applyAlignment="1">
      <alignment horizontal="center" vertical="center" wrapText="1"/>
    </xf>
    <xf numFmtId="0" fontId="11" fillId="3" borderId="8" xfId="4" applyFont="1" applyFill="1" applyBorder="1" applyAlignment="1">
      <alignment horizontal="center" vertical="center" wrapText="1"/>
    </xf>
    <xf numFmtId="0" fontId="11" fillId="3" borderId="1" xfId="4" applyFont="1" applyFill="1" applyBorder="1" applyAlignment="1">
      <alignment horizontal="center" vertical="center"/>
    </xf>
    <xf numFmtId="0" fontId="11" fillId="3" borderId="6" xfId="4" applyFont="1" applyFill="1" applyBorder="1" applyAlignment="1">
      <alignment horizontal="center" vertical="center"/>
    </xf>
    <xf numFmtId="0" fontId="11" fillId="3" borderId="19" xfId="4" applyFont="1" applyFill="1" applyBorder="1" applyAlignment="1">
      <alignment horizontal="center" vertical="center" wrapText="1"/>
    </xf>
    <xf numFmtId="0" fontId="11" fillId="3" borderId="27" xfId="4" applyFont="1" applyFill="1" applyBorder="1" applyAlignment="1">
      <alignment horizontal="center" vertical="center" wrapText="1"/>
    </xf>
    <xf numFmtId="49" fontId="35" fillId="10" borderId="9" xfId="4" applyNumberFormat="1" applyFont="1" applyFill="1" applyBorder="1" applyAlignment="1">
      <alignment horizontal="left" vertical="center"/>
    </xf>
    <xf numFmtId="49" fontId="35" fillId="10" borderId="10" xfId="4" applyNumberFormat="1" applyFont="1" applyFill="1" applyBorder="1" applyAlignment="1">
      <alignment horizontal="left" vertical="center"/>
    </xf>
    <xf numFmtId="49" fontId="35" fillId="10" borderId="20" xfId="4" applyNumberFormat="1" applyFont="1" applyFill="1" applyBorder="1" applyAlignment="1">
      <alignment horizontal="left" vertical="center"/>
    </xf>
    <xf numFmtId="0" fontId="34" fillId="10" borderId="9" xfId="4" applyFont="1" applyFill="1" applyBorder="1" applyAlignment="1">
      <alignment horizontal="center" vertical="center"/>
    </xf>
    <xf numFmtId="0" fontId="34" fillId="10" borderId="10" xfId="4" applyFont="1" applyFill="1" applyBorder="1" applyAlignment="1">
      <alignment horizontal="center" vertical="center"/>
    </xf>
    <xf numFmtId="0" fontId="34" fillId="10" borderId="20" xfId="4" applyFont="1" applyFill="1" applyBorder="1" applyAlignment="1">
      <alignment horizontal="center" vertical="center"/>
    </xf>
    <xf numFmtId="0" fontId="35" fillId="10" borderId="9" xfId="4" applyFont="1" applyFill="1" applyBorder="1" applyAlignment="1">
      <alignment horizontal="left" vertical="center"/>
    </xf>
    <xf numFmtId="0" fontId="35" fillId="10" borderId="10" xfId="4" applyFont="1" applyFill="1" applyBorder="1" applyAlignment="1">
      <alignment horizontal="left" vertical="center"/>
    </xf>
    <xf numFmtId="0" fontId="35" fillId="10" borderId="20" xfId="4" applyFont="1" applyFill="1" applyBorder="1" applyAlignment="1">
      <alignment horizontal="left" vertical="center"/>
    </xf>
    <xf numFmtId="0" fontId="35" fillId="3" borderId="9" xfId="4" applyFont="1" applyFill="1" applyBorder="1" applyAlignment="1">
      <alignment horizontal="center" vertical="center"/>
    </xf>
    <xf numFmtId="0" fontId="35" fillId="3" borderId="10" xfId="4" applyFont="1" applyFill="1" applyBorder="1" applyAlignment="1">
      <alignment horizontal="center" vertical="center"/>
    </xf>
    <xf numFmtId="0" fontId="35" fillId="3" borderId="20" xfId="4" applyFont="1" applyFill="1" applyBorder="1" applyAlignment="1">
      <alignment horizontal="center" vertical="center"/>
    </xf>
    <xf numFmtId="0" fontId="35" fillId="10" borderId="9" xfId="4" applyFont="1" applyFill="1" applyBorder="1" applyAlignment="1">
      <alignment horizontal="left" vertical="top" wrapText="1"/>
    </xf>
    <xf numFmtId="0" fontId="35" fillId="10" borderId="10" xfId="4" applyFont="1" applyFill="1" applyBorder="1" applyAlignment="1">
      <alignment horizontal="left" vertical="top" wrapText="1"/>
    </xf>
    <xf numFmtId="0" fontId="35" fillId="10" borderId="20" xfId="4" applyFont="1" applyFill="1" applyBorder="1" applyAlignment="1">
      <alignment horizontal="left" vertical="top" wrapText="1"/>
    </xf>
    <xf numFmtId="0" fontId="34" fillId="0" borderId="19" xfId="4" applyFont="1" applyFill="1" applyBorder="1" applyAlignment="1">
      <alignment horizontal="center" vertical="center"/>
    </xf>
    <xf numFmtId="0" fontId="34" fillId="0" borderId="21" xfId="4" applyFont="1" applyFill="1" applyBorder="1" applyAlignment="1">
      <alignment horizontal="center" vertical="center"/>
    </xf>
    <xf numFmtId="0" fontId="34" fillId="0" borderId="27" xfId="4" applyFont="1" applyFill="1" applyBorder="1" applyAlignment="1">
      <alignment horizontal="center" vertical="center"/>
    </xf>
    <xf numFmtId="0" fontId="34" fillId="0" borderId="9" xfId="4" applyFont="1" applyFill="1" applyBorder="1" applyAlignment="1">
      <alignment horizontal="center" vertical="center"/>
    </xf>
    <xf numFmtId="0" fontId="34" fillId="0" borderId="10" xfId="4" applyFont="1" applyFill="1" applyBorder="1" applyAlignment="1">
      <alignment horizontal="center" vertical="center"/>
    </xf>
    <xf numFmtId="0" fontId="34" fillId="0" borderId="20" xfId="4" applyFont="1" applyFill="1" applyBorder="1" applyAlignment="1">
      <alignment horizontal="center" vertical="center"/>
    </xf>
    <xf numFmtId="0" fontId="34" fillId="10" borderId="19" xfId="4" applyFont="1" applyFill="1" applyBorder="1" applyAlignment="1">
      <alignment horizontal="center" vertical="center"/>
    </xf>
    <xf numFmtId="0" fontId="34" fillId="10" borderId="21" xfId="4" applyFont="1" applyFill="1" applyBorder="1" applyAlignment="1">
      <alignment horizontal="center" vertical="center"/>
    </xf>
    <xf numFmtId="0" fontId="34" fillId="10" borderId="27" xfId="4" applyFont="1" applyFill="1" applyBorder="1" applyAlignment="1">
      <alignment horizontal="center" vertical="center"/>
    </xf>
    <xf numFmtId="0" fontId="35" fillId="10" borderId="9" xfId="4" applyFont="1" applyFill="1" applyBorder="1" applyAlignment="1">
      <alignment horizontal="left" vertical="center" wrapText="1"/>
    </xf>
    <xf numFmtId="0" fontId="35" fillId="10" borderId="10" xfId="4" applyFont="1" applyFill="1" applyBorder="1" applyAlignment="1">
      <alignment horizontal="left" vertical="center" wrapText="1"/>
    </xf>
    <xf numFmtId="0" fontId="35" fillId="10" borderId="20" xfId="4" applyFont="1" applyFill="1" applyBorder="1" applyAlignment="1">
      <alignment horizontal="left" vertical="center" wrapText="1"/>
    </xf>
    <xf numFmtId="0" fontId="11" fillId="0" borderId="22" xfId="5" applyFont="1" applyBorder="1" applyAlignment="1">
      <alignment horizontal="center" vertical="center"/>
    </xf>
    <xf numFmtId="0" fontId="11" fillId="12" borderId="1" xfId="0" applyFont="1" applyFill="1" applyBorder="1" applyAlignment="1">
      <alignment horizontal="left" vertical="center"/>
    </xf>
    <xf numFmtId="0" fontId="11" fillId="12" borderId="2" xfId="0" applyFont="1" applyFill="1" applyBorder="1" applyAlignment="1">
      <alignment horizontal="left" vertical="center"/>
    </xf>
    <xf numFmtId="0" fontId="11" fillId="12" borderId="10" xfId="0" applyFont="1" applyFill="1" applyBorder="1" applyAlignment="1">
      <alignment vertical="center"/>
    </xf>
    <xf numFmtId="0" fontId="11" fillId="12" borderId="9" xfId="0" applyFont="1" applyFill="1" applyBorder="1" applyAlignment="1">
      <alignment vertical="center"/>
    </xf>
    <xf numFmtId="0" fontId="11" fillId="12" borderId="22" xfId="0" applyFont="1" applyFill="1" applyBorder="1" applyAlignment="1">
      <alignment vertical="center" wrapText="1"/>
    </xf>
    <xf numFmtId="0" fontId="11" fillId="12" borderId="22" xfId="0" applyFont="1" applyFill="1" applyBorder="1" applyAlignment="1">
      <alignment horizontal="left" vertical="center" wrapText="1"/>
    </xf>
    <xf numFmtId="0" fontId="11" fillId="12" borderId="10" xfId="0" applyFont="1" applyFill="1" applyBorder="1" applyAlignment="1">
      <alignment vertical="center" wrapText="1"/>
    </xf>
    <xf numFmtId="0" fontId="11" fillId="12" borderId="22" xfId="0" applyFont="1" applyFill="1" applyBorder="1" applyAlignment="1">
      <alignment vertical="center"/>
    </xf>
    <xf numFmtId="0" fontId="11" fillId="12" borderId="9" xfId="0" applyFont="1" applyFill="1" applyBorder="1" applyAlignment="1">
      <alignment horizontal="left" vertical="center" wrapText="1"/>
    </xf>
    <xf numFmtId="0" fontId="11" fillId="12" borderId="21" xfId="0" applyFont="1" applyFill="1" applyBorder="1" applyAlignment="1">
      <alignment horizontal="left" vertical="center"/>
    </xf>
    <xf numFmtId="0" fontId="11" fillId="0" borderId="27" xfId="0" applyFont="1" applyBorder="1" applyAlignment="1">
      <alignment horizontal="left" vertical="center" wrapText="1"/>
    </xf>
    <xf numFmtId="0" fontId="11" fillId="0" borderId="9" xfId="0" applyFont="1" applyBorder="1" applyAlignment="1">
      <alignment vertical="center"/>
    </xf>
    <xf numFmtId="0" fontId="11" fillId="0" borderId="9" xfId="0" applyFont="1" applyBorder="1" applyAlignment="1">
      <alignment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10" xfId="0" applyFont="1" applyBorder="1" applyAlignment="1">
      <alignment vertical="center" wrapText="1"/>
    </xf>
    <xf numFmtId="0" fontId="11" fillId="0" borderId="22" xfId="0" applyFont="1" applyBorder="1" applyAlignment="1">
      <alignment vertical="center"/>
    </xf>
    <xf numFmtId="0" fontId="11" fillId="0" borderId="22" xfId="0" applyFont="1" applyBorder="1" applyAlignment="1">
      <alignment vertical="center" wrapText="1"/>
    </xf>
    <xf numFmtId="0" fontId="11" fillId="0" borderId="2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 wrapText="1"/>
    </xf>
    <xf numFmtId="0" fontId="18" fillId="0" borderId="6" xfId="5" applyFont="1" applyBorder="1" applyAlignment="1">
      <alignment vertical="top" wrapText="1"/>
    </xf>
    <xf numFmtId="0" fontId="18" fillId="0" borderId="27" xfId="5" applyFont="1" applyBorder="1" applyAlignment="1">
      <alignment horizontal="left" vertical="top"/>
    </xf>
    <xf numFmtId="0" fontId="11" fillId="0" borderId="9" xfId="5" applyFont="1" applyBorder="1" applyAlignment="1">
      <alignment vertical="top" wrapText="1"/>
    </xf>
    <xf numFmtId="0" fontId="18" fillId="0" borderId="9" xfId="5" applyFont="1" applyBorder="1" applyAlignment="1">
      <alignment vertical="top" wrapText="1"/>
    </xf>
    <xf numFmtId="0" fontId="18" fillId="0" borderId="22" xfId="5" applyFont="1" applyBorder="1" applyAlignment="1">
      <alignment horizontal="left" vertical="top"/>
    </xf>
    <xf numFmtId="0" fontId="11" fillId="0" borderId="6" xfId="5" applyFont="1" applyBorder="1" applyAlignment="1">
      <alignment horizontal="left" vertical="top" shrinkToFit="1"/>
    </xf>
    <xf numFmtId="0" fontId="11" fillId="0" borderId="27" xfId="5" applyFont="1" applyBorder="1" applyAlignment="1">
      <alignment horizontal="left" vertical="top"/>
    </xf>
    <xf numFmtId="0" fontId="11" fillId="0" borderId="6" xfId="5" applyFont="1" applyBorder="1" applyAlignment="1">
      <alignment horizontal="left" vertical="top" wrapText="1"/>
    </xf>
    <xf numFmtId="0" fontId="29" fillId="0" borderId="27" xfId="5" quotePrefix="1" applyFont="1" applyBorder="1" applyAlignment="1">
      <alignment horizontal="left" vertical="top" wrapText="1"/>
    </xf>
    <xf numFmtId="0" fontId="11" fillId="0" borderId="22" xfId="5" applyFont="1" applyBorder="1" applyAlignment="1">
      <alignment vertical="top" wrapText="1"/>
    </xf>
  </cellXfs>
  <cellStyles count="16">
    <cellStyle name="Hyperlink" xfId="7" builtinId="8"/>
    <cellStyle name="Normal" xfId="0" builtinId="0"/>
    <cellStyle name="Normal 2" xfId="8" xr:uid="{00000000-0005-0000-0000-000002000000}"/>
    <cellStyle name="Normal 3" xfId="15" xr:uid="{68CB66C8-6D31-403D-9C5E-5C5D02E39C6C}"/>
    <cellStyle name="標準 2" xfId="3" xr:uid="{00000000-0005-0000-0000-000003000000}"/>
    <cellStyle name="標準 2 2" xfId="5" xr:uid="{00000000-0005-0000-0000-000004000000}"/>
    <cellStyle name="標準 2 2 2" xfId="11" xr:uid="{57D37E37-5090-431C-AD5C-5F585170AEC4}"/>
    <cellStyle name="標準 2 3" xfId="13" xr:uid="{E23825B1-A509-4791-ACB0-92712BA33D9C}"/>
    <cellStyle name="標準 3" xfId="4" xr:uid="{00000000-0005-0000-0000-000005000000}"/>
    <cellStyle name="標準 3 4" xfId="10" xr:uid="{88B4F7F9-0C53-4EDA-AA4C-6217A5B58E9E}"/>
    <cellStyle name="標準 4" xfId="6" xr:uid="{00000000-0005-0000-0000-000006000000}"/>
    <cellStyle name="標準 5" xfId="9" xr:uid="{B58D6216-5C31-4CC9-B9B6-9E35310DF44E}"/>
    <cellStyle name="標準 5 2" xfId="14" xr:uid="{56D09407-599A-4C15-AFB6-AD6693141B5C}"/>
    <cellStyle name="標準 6" xfId="12" xr:uid="{64BB94C6-FF02-4EC0-9426-388CBDA9DC42}"/>
    <cellStyle name="標準_0103_M01_010_詳細_業務_失効処理" xfId="1" xr:uid="{00000000-0005-0000-0000-000008000000}"/>
    <cellStyle name="標準_M0001_詳細_画面_ビジタートップ" xfId="2" xr:uid="{00000000-0005-0000-0000-00000A000000}"/>
  </cellStyles>
  <dxfs count="0"/>
  <tableStyles count="0" defaultTableStyle="TableStyleMedium2" defaultPivotStyle="PivotStyleLight16"/>
  <colors>
    <mruColors>
      <color rgb="FF0000FF"/>
      <color rgb="FF5B9BD5"/>
      <color rgb="FF7F7F7F"/>
      <color rgb="FFFFCCFF"/>
      <color rgb="FFB4C6E7"/>
      <color rgb="FF33CC33"/>
      <color rgb="FFFBE6D9"/>
      <color rgb="FFFCEBE0"/>
      <color rgb="FFFEF8F4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133349</xdr:colOff>
      <xdr:row>9</xdr:row>
      <xdr:rowOff>76200</xdr:rowOff>
    </xdr:from>
    <xdr:to>
      <xdr:col>43</xdr:col>
      <xdr:colOff>28575</xdr:colOff>
      <xdr:row>29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219199" y="1447800"/>
          <a:ext cx="6591301" cy="29718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>
          <a:outerShdw dist="17961" dir="2700000" algn="ctr" rotWithShape="0">
            <a:srgbClr val="333333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79</xdr:col>
      <xdr:colOff>157229</xdr:colOff>
      <xdr:row>26</xdr:row>
      <xdr:rowOff>93826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7D35EC6-B1E7-4231-A3E4-E724C0D04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657225"/>
          <a:ext cx="14120879" cy="3446626"/>
        </a:xfrm>
        <a:prstGeom prst="rect">
          <a:avLst/>
        </a:prstGeom>
      </xdr:spPr>
    </xdr:pic>
    <xdr:clientData/>
  </xdr:twoCellAnchor>
  <xdr:twoCellAnchor>
    <xdr:from>
      <xdr:col>11</xdr:col>
      <xdr:colOff>85725</xdr:colOff>
      <xdr:row>4</xdr:row>
      <xdr:rowOff>114300</xdr:rowOff>
    </xdr:from>
    <xdr:to>
      <xdr:col>12</xdr:col>
      <xdr:colOff>156750</xdr:colOff>
      <xdr:row>5</xdr:row>
      <xdr:rowOff>141900</xdr:rowOff>
    </xdr:to>
    <xdr:sp macro="" textlink="画面項目定義!B5">
      <xdr:nvSpPr>
        <xdr:cNvPr id="20" name="四角形: 角を丸くする 156">
          <a:extLst>
            <a:ext uri="{FF2B5EF4-FFF2-40B4-BE49-F238E27FC236}">
              <a16:creationId xmlns:a16="http://schemas.microsoft.com/office/drawing/2014/main" id="{86AF5AF3-5F6F-4E40-841E-C6F81DAE9703}"/>
            </a:ext>
          </a:extLst>
        </xdr:cNvPr>
        <xdr:cNvSpPr/>
      </xdr:nvSpPr>
      <xdr:spPr>
        <a:xfrm>
          <a:off x="2047875" y="771525"/>
          <a:ext cx="252000" cy="180000"/>
        </a:xfrm>
        <a:prstGeom prst="roundRect">
          <a:avLst/>
        </a:prstGeom>
        <a:noFill/>
        <a:ln w="12700" cap="flat" cmpd="sng" algn="ctr">
          <a:solidFill>
            <a:srgbClr val="FF0000"/>
          </a:solidFill>
          <a:prstDash val="sysDash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BCA32A6F-3A86-4372-BD39-94EF56379E07}" type="TxLink">
            <a:rPr kumimoji="1" lang="en-US" altLang="en-US" sz="900" b="0" i="0" u="none" strike="noStrike" baseline="0">
              <a:solidFill>
                <a:srgbClr val="000000"/>
              </a:solidFill>
              <a:latin typeface="Meiryo UI"/>
              <a:ea typeface="Meiryo UI"/>
            </a:rPr>
            <a:pPr algn="ctr"/>
            <a:t>2</a:t>
          </a:fld>
          <a:endParaRPr kumimoji="1"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76200</xdr:colOff>
      <xdr:row>8</xdr:row>
      <xdr:rowOff>9525</xdr:rowOff>
    </xdr:from>
    <xdr:to>
      <xdr:col>10</xdr:col>
      <xdr:colOff>147225</xdr:colOff>
      <xdr:row>9</xdr:row>
      <xdr:rowOff>37125</xdr:rowOff>
    </xdr:to>
    <xdr:sp macro="" textlink="画面項目定義!B7">
      <xdr:nvSpPr>
        <xdr:cNvPr id="21" name="四角形: 角を丸くする 156">
          <a:extLst>
            <a:ext uri="{FF2B5EF4-FFF2-40B4-BE49-F238E27FC236}">
              <a16:creationId xmlns:a16="http://schemas.microsoft.com/office/drawing/2014/main" id="{BAF295C4-2BC9-4052-83A6-76060B493209}"/>
            </a:ext>
          </a:extLst>
        </xdr:cNvPr>
        <xdr:cNvSpPr/>
      </xdr:nvSpPr>
      <xdr:spPr>
        <a:xfrm>
          <a:off x="1676400" y="1276350"/>
          <a:ext cx="252000" cy="180000"/>
        </a:xfrm>
        <a:prstGeom prst="roundRect">
          <a:avLst/>
        </a:prstGeom>
        <a:noFill/>
        <a:ln w="12700" cap="flat" cmpd="sng" algn="ctr">
          <a:solidFill>
            <a:srgbClr val="FF0000"/>
          </a:solidFill>
          <a:prstDash val="sysDash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D0F770FF-99D0-422F-A903-B8608C58D7A5}" type="TxLink">
            <a:rPr kumimoji="1" lang="en-US" altLang="en-US" sz="900" b="0" i="0" u="none" strike="noStrike" baseline="0">
              <a:solidFill>
                <a:srgbClr val="000000"/>
              </a:solidFill>
              <a:latin typeface="Meiryo UI"/>
              <a:ea typeface="Meiryo UI"/>
            </a:rPr>
            <a:pPr algn="ctr"/>
            <a:t>4</a:t>
          </a:fld>
          <a:endParaRPr kumimoji="1"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9525</xdr:colOff>
      <xdr:row>10</xdr:row>
      <xdr:rowOff>114300</xdr:rowOff>
    </xdr:from>
    <xdr:to>
      <xdr:col>6</xdr:col>
      <xdr:colOff>80550</xdr:colOff>
      <xdr:row>11</xdr:row>
      <xdr:rowOff>141900</xdr:rowOff>
    </xdr:to>
    <xdr:sp macro="" textlink="画面項目定義!B9">
      <xdr:nvSpPr>
        <xdr:cNvPr id="22" name="四角形: 角を丸くする 156">
          <a:extLst>
            <a:ext uri="{FF2B5EF4-FFF2-40B4-BE49-F238E27FC236}">
              <a16:creationId xmlns:a16="http://schemas.microsoft.com/office/drawing/2014/main" id="{B2DA1F95-AB46-485D-95B3-36F0996EF698}"/>
            </a:ext>
          </a:extLst>
        </xdr:cNvPr>
        <xdr:cNvSpPr/>
      </xdr:nvSpPr>
      <xdr:spPr>
        <a:xfrm>
          <a:off x="885825" y="1685925"/>
          <a:ext cx="252000" cy="180000"/>
        </a:xfrm>
        <a:prstGeom prst="roundRect">
          <a:avLst/>
        </a:prstGeom>
        <a:noFill/>
        <a:ln w="12700" cap="flat" cmpd="sng" algn="ctr">
          <a:solidFill>
            <a:srgbClr val="FF0000"/>
          </a:solidFill>
          <a:prstDash val="sysDash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EF2ED257-413E-4B30-B2D5-FFABE4548A80}" type="TxLink">
            <a:rPr kumimoji="1" lang="en-US" altLang="en-US" sz="900" b="0" i="0" u="none" strike="noStrike" baseline="0">
              <a:solidFill>
                <a:srgbClr val="000000"/>
              </a:solidFill>
              <a:latin typeface="Meiryo UI"/>
              <a:ea typeface="Meiryo UI"/>
            </a:rPr>
            <a:pPr algn="ctr"/>
            <a:t>6</a:t>
          </a:fld>
          <a:endParaRPr kumimoji="1"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161925</xdr:colOff>
      <xdr:row>10</xdr:row>
      <xdr:rowOff>85725</xdr:rowOff>
    </xdr:from>
    <xdr:to>
      <xdr:col>11</xdr:col>
      <xdr:colOff>51975</xdr:colOff>
      <xdr:row>11</xdr:row>
      <xdr:rowOff>113325</xdr:rowOff>
    </xdr:to>
    <xdr:sp macro="" textlink="画面項目定義!B10">
      <xdr:nvSpPr>
        <xdr:cNvPr id="23" name="四角形: 角を丸くする 156">
          <a:extLst>
            <a:ext uri="{FF2B5EF4-FFF2-40B4-BE49-F238E27FC236}">
              <a16:creationId xmlns:a16="http://schemas.microsoft.com/office/drawing/2014/main" id="{0511A048-A434-47F7-9B1D-D90DA0E70AD6}"/>
            </a:ext>
          </a:extLst>
        </xdr:cNvPr>
        <xdr:cNvSpPr/>
      </xdr:nvSpPr>
      <xdr:spPr>
        <a:xfrm>
          <a:off x="1762125" y="1657350"/>
          <a:ext cx="252000" cy="180000"/>
        </a:xfrm>
        <a:prstGeom prst="roundRect">
          <a:avLst/>
        </a:prstGeom>
        <a:noFill/>
        <a:ln w="12700" cap="flat" cmpd="sng" algn="ctr">
          <a:solidFill>
            <a:srgbClr val="FF0000"/>
          </a:solidFill>
          <a:prstDash val="sysDash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0CF7BC35-038F-447B-ACF2-184BEAE1803F}" type="TxLink">
            <a:rPr kumimoji="1" lang="en-US" altLang="en-US" sz="900" b="0" i="0" u="none" strike="noStrike" baseline="0">
              <a:solidFill>
                <a:srgbClr val="000000"/>
              </a:solidFill>
              <a:latin typeface="Meiryo UI"/>
              <a:ea typeface="Meiryo UI"/>
            </a:rPr>
            <a:pPr algn="ctr"/>
            <a:t>7</a:t>
          </a:fld>
          <a:endParaRPr kumimoji="1"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114300</xdr:colOff>
      <xdr:row>10</xdr:row>
      <xdr:rowOff>85725</xdr:rowOff>
    </xdr:from>
    <xdr:to>
      <xdr:col>17</xdr:col>
      <xdr:colOff>4350</xdr:colOff>
      <xdr:row>11</xdr:row>
      <xdr:rowOff>113325</xdr:rowOff>
    </xdr:to>
    <xdr:sp macro="" textlink="画面項目定義!B11">
      <xdr:nvSpPr>
        <xdr:cNvPr id="24" name="四角形: 角を丸くする 156">
          <a:extLst>
            <a:ext uri="{FF2B5EF4-FFF2-40B4-BE49-F238E27FC236}">
              <a16:creationId xmlns:a16="http://schemas.microsoft.com/office/drawing/2014/main" id="{551FF00F-50E8-40C5-96A7-5A08E6CFA8FD}"/>
            </a:ext>
          </a:extLst>
        </xdr:cNvPr>
        <xdr:cNvSpPr/>
      </xdr:nvSpPr>
      <xdr:spPr>
        <a:xfrm>
          <a:off x="2800350" y="1657350"/>
          <a:ext cx="252000" cy="180000"/>
        </a:xfrm>
        <a:prstGeom prst="roundRect">
          <a:avLst/>
        </a:prstGeom>
        <a:noFill/>
        <a:ln w="12700" cap="flat" cmpd="sng" algn="ctr">
          <a:solidFill>
            <a:srgbClr val="FF0000"/>
          </a:solidFill>
          <a:prstDash val="sysDash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F267AA58-1663-4E29-AE51-1B31698AA279}" type="TxLink">
            <a:rPr kumimoji="1" lang="en-US" altLang="en-US" sz="900" b="0" i="0" u="none" strike="noStrike" baseline="0">
              <a:solidFill>
                <a:srgbClr val="000000"/>
              </a:solidFill>
              <a:latin typeface="Meiryo UI"/>
              <a:ea typeface="Meiryo UI"/>
            </a:rPr>
            <a:pPr algn="ctr"/>
            <a:t>8</a:t>
          </a:fld>
          <a:endParaRPr kumimoji="1"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85725</xdr:colOff>
      <xdr:row>10</xdr:row>
      <xdr:rowOff>66675</xdr:rowOff>
    </xdr:from>
    <xdr:to>
      <xdr:col>22</xdr:col>
      <xdr:colOff>156750</xdr:colOff>
      <xdr:row>11</xdr:row>
      <xdr:rowOff>94275</xdr:rowOff>
    </xdr:to>
    <xdr:sp macro="" textlink="画面項目定義!B12">
      <xdr:nvSpPr>
        <xdr:cNvPr id="25" name="四角形: 角を丸くする 156">
          <a:extLst>
            <a:ext uri="{FF2B5EF4-FFF2-40B4-BE49-F238E27FC236}">
              <a16:creationId xmlns:a16="http://schemas.microsoft.com/office/drawing/2014/main" id="{A509F337-CF92-4694-87D7-1E3CDBD4D398}"/>
            </a:ext>
          </a:extLst>
        </xdr:cNvPr>
        <xdr:cNvSpPr/>
      </xdr:nvSpPr>
      <xdr:spPr>
        <a:xfrm>
          <a:off x="3857625" y="1638300"/>
          <a:ext cx="252000" cy="180000"/>
        </a:xfrm>
        <a:prstGeom prst="roundRect">
          <a:avLst/>
        </a:prstGeom>
        <a:noFill/>
        <a:ln w="12700" cap="flat" cmpd="sng" algn="ctr">
          <a:solidFill>
            <a:srgbClr val="FF0000"/>
          </a:solidFill>
          <a:prstDash val="sysDash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FA8F0D7F-4B84-4207-AB9F-F9171F1E1A0E}" type="TxLink">
            <a:rPr kumimoji="1" lang="en-US" altLang="en-US" sz="900" b="0" i="0" u="none" strike="noStrike" baseline="0">
              <a:solidFill>
                <a:srgbClr val="000000"/>
              </a:solidFill>
              <a:latin typeface="Meiryo UI"/>
              <a:ea typeface="Meiryo UI"/>
            </a:rPr>
            <a:pPr algn="ctr"/>
            <a:t>9</a:t>
          </a:fld>
          <a:endParaRPr kumimoji="1"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133350</xdr:colOff>
      <xdr:row>14</xdr:row>
      <xdr:rowOff>142875</xdr:rowOff>
    </xdr:from>
    <xdr:to>
      <xdr:col>46</xdr:col>
      <xdr:colOff>23400</xdr:colOff>
      <xdr:row>16</xdr:row>
      <xdr:rowOff>18075</xdr:rowOff>
    </xdr:to>
    <xdr:sp macro="" textlink="画面項目定義!B13">
      <xdr:nvSpPr>
        <xdr:cNvPr id="26" name="四角形: 角を丸くする 156">
          <a:extLst>
            <a:ext uri="{FF2B5EF4-FFF2-40B4-BE49-F238E27FC236}">
              <a16:creationId xmlns:a16="http://schemas.microsoft.com/office/drawing/2014/main" id="{21E1FC9D-C605-4C99-9777-2A1CBA6077D3}"/>
            </a:ext>
          </a:extLst>
        </xdr:cNvPr>
        <xdr:cNvSpPr/>
      </xdr:nvSpPr>
      <xdr:spPr>
        <a:xfrm>
          <a:off x="8124825" y="2324100"/>
          <a:ext cx="252000" cy="180000"/>
        </a:xfrm>
        <a:prstGeom prst="roundRect">
          <a:avLst/>
        </a:prstGeom>
        <a:noFill/>
        <a:ln w="12700" cap="flat" cmpd="sng" algn="ctr">
          <a:solidFill>
            <a:srgbClr val="FF0000"/>
          </a:solidFill>
          <a:prstDash val="sysDash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FDC5B235-7103-4246-8765-A2CB9D4CE81C}" type="TxLink">
            <a:rPr kumimoji="1" lang="en-US" altLang="en-US" sz="900" b="0" i="0" u="none" strike="noStrike" baseline="0">
              <a:solidFill>
                <a:srgbClr val="000000"/>
              </a:solidFill>
              <a:latin typeface="Meiryo UI"/>
              <a:ea typeface="Meiryo UI"/>
            </a:rPr>
            <a:pPr algn="ctr"/>
            <a:t>10</a:t>
          </a:fld>
          <a:endParaRPr kumimoji="1"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9525</xdr:colOff>
      <xdr:row>16</xdr:row>
      <xdr:rowOff>104775</xdr:rowOff>
    </xdr:from>
    <xdr:to>
      <xdr:col>9</xdr:col>
      <xdr:colOff>80550</xdr:colOff>
      <xdr:row>17</xdr:row>
      <xdr:rowOff>132375</xdr:rowOff>
    </xdr:to>
    <xdr:sp macro="" textlink="画面項目定義!B14">
      <xdr:nvSpPr>
        <xdr:cNvPr id="27" name="四角形: 角を丸くする 156">
          <a:extLst>
            <a:ext uri="{FF2B5EF4-FFF2-40B4-BE49-F238E27FC236}">
              <a16:creationId xmlns:a16="http://schemas.microsoft.com/office/drawing/2014/main" id="{30354DD1-DECC-436E-A38C-922C1BA8DE0B}"/>
            </a:ext>
          </a:extLst>
        </xdr:cNvPr>
        <xdr:cNvSpPr/>
      </xdr:nvSpPr>
      <xdr:spPr>
        <a:xfrm>
          <a:off x="1428750" y="2590800"/>
          <a:ext cx="252000" cy="180000"/>
        </a:xfrm>
        <a:prstGeom prst="roundRect">
          <a:avLst/>
        </a:prstGeom>
        <a:noFill/>
        <a:ln w="12700" cap="flat" cmpd="sng" algn="ctr">
          <a:solidFill>
            <a:srgbClr val="FF0000"/>
          </a:solidFill>
          <a:prstDash val="sysDash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9C489529-D805-46D8-A1FF-F7FC1E49D4FC}" type="TxLink">
            <a:rPr kumimoji="1" lang="en-US" altLang="en-US" sz="900" b="0" i="0" u="none" strike="noStrike" baseline="0">
              <a:solidFill>
                <a:srgbClr val="000000"/>
              </a:solidFill>
              <a:latin typeface="Meiryo UI"/>
              <a:ea typeface="Meiryo UI"/>
            </a:rPr>
            <a:pPr algn="ctr"/>
            <a:t>11</a:t>
          </a:fld>
          <a:endParaRPr kumimoji="1"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123825</xdr:colOff>
      <xdr:row>16</xdr:row>
      <xdr:rowOff>85725</xdr:rowOff>
    </xdr:from>
    <xdr:to>
      <xdr:col>17</xdr:col>
      <xdr:colOff>13875</xdr:colOff>
      <xdr:row>17</xdr:row>
      <xdr:rowOff>113325</xdr:rowOff>
    </xdr:to>
    <xdr:sp macro="" textlink="画面項目定義!B16">
      <xdr:nvSpPr>
        <xdr:cNvPr id="28" name="四角形: 角を丸くする 156">
          <a:extLst>
            <a:ext uri="{FF2B5EF4-FFF2-40B4-BE49-F238E27FC236}">
              <a16:creationId xmlns:a16="http://schemas.microsoft.com/office/drawing/2014/main" id="{976F1EB6-988C-4279-BFDB-91E3E8791F13}"/>
            </a:ext>
          </a:extLst>
        </xdr:cNvPr>
        <xdr:cNvSpPr/>
      </xdr:nvSpPr>
      <xdr:spPr>
        <a:xfrm>
          <a:off x="2809875" y="2571750"/>
          <a:ext cx="252000" cy="180000"/>
        </a:xfrm>
        <a:prstGeom prst="roundRect">
          <a:avLst/>
        </a:prstGeom>
        <a:noFill/>
        <a:ln w="12700" cap="flat" cmpd="sng" algn="ctr">
          <a:solidFill>
            <a:srgbClr val="FF0000"/>
          </a:solidFill>
          <a:prstDash val="sysDash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116A719B-5FC5-4412-93A7-D660FF26BD5C}" type="TxLink">
            <a:rPr kumimoji="1" lang="en-US" altLang="en-US" sz="900" b="0" i="0" u="none" strike="noStrike" baseline="0">
              <a:solidFill>
                <a:srgbClr val="000000"/>
              </a:solidFill>
              <a:latin typeface="Meiryo UI"/>
              <a:ea typeface="Meiryo UI"/>
            </a:rPr>
            <a:pPr algn="ctr"/>
            <a:t>13</a:t>
          </a:fld>
          <a:endParaRPr kumimoji="1"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9525</xdr:colOff>
      <xdr:row>16</xdr:row>
      <xdr:rowOff>104775</xdr:rowOff>
    </xdr:from>
    <xdr:to>
      <xdr:col>27</xdr:col>
      <xdr:colOff>80550</xdr:colOff>
      <xdr:row>17</xdr:row>
      <xdr:rowOff>132375</xdr:rowOff>
    </xdr:to>
    <xdr:sp macro="" textlink="画面項目定義!B18">
      <xdr:nvSpPr>
        <xdr:cNvPr id="29" name="四角形: 角を丸くする 156">
          <a:extLst>
            <a:ext uri="{FF2B5EF4-FFF2-40B4-BE49-F238E27FC236}">
              <a16:creationId xmlns:a16="http://schemas.microsoft.com/office/drawing/2014/main" id="{9235416B-6EAA-4C2A-9B6C-C5ED19ADE4DD}"/>
            </a:ext>
          </a:extLst>
        </xdr:cNvPr>
        <xdr:cNvSpPr/>
      </xdr:nvSpPr>
      <xdr:spPr>
        <a:xfrm>
          <a:off x="4743450" y="2590800"/>
          <a:ext cx="252000" cy="180000"/>
        </a:xfrm>
        <a:prstGeom prst="roundRect">
          <a:avLst/>
        </a:prstGeom>
        <a:noFill/>
        <a:ln w="12700" cap="flat" cmpd="sng" algn="ctr">
          <a:solidFill>
            <a:srgbClr val="FF0000"/>
          </a:solidFill>
          <a:prstDash val="sysDash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2A0C6A2B-5415-4F02-8131-7809A53CD7D3}" type="TxLink">
            <a:rPr kumimoji="1" lang="en-US" altLang="en-US" sz="900" b="0" i="0" u="none" strike="noStrike" baseline="0">
              <a:solidFill>
                <a:srgbClr val="000000"/>
              </a:solidFill>
              <a:latin typeface="Meiryo UI"/>
              <a:ea typeface="Meiryo UI"/>
            </a:rPr>
            <a:pPr algn="ctr"/>
            <a:t>15</a:t>
          </a:fld>
          <a:endParaRPr kumimoji="1"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19050</xdr:colOff>
      <xdr:row>16</xdr:row>
      <xdr:rowOff>85725</xdr:rowOff>
    </xdr:from>
    <xdr:to>
      <xdr:col>37</xdr:col>
      <xdr:colOff>90075</xdr:colOff>
      <xdr:row>17</xdr:row>
      <xdr:rowOff>113325</xdr:rowOff>
    </xdr:to>
    <xdr:sp macro="" textlink="画面項目定義!B20">
      <xdr:nvSpPr>
        <xdr:cNvPr id="30" name="四角形: 角を丸くする 156">
          <a:extLst>
            <a:ext uri="{FF2B5EF4-FFF2-40B4-BE49-F238E27FC236}">
              <a16:creationId xmlns:a16="http://schemas.microsoft.com/office/drawing/2014/main" id="{BA933DE5-46DF-4FC5-8DB6-5DC1618FD6BA}"/>
            </a:ext>
          </a:extLst>
        </xdr:cNvPr>
        <xdr:cNvSpPr/>
      </xdr:nvSpPr>
      <xdr:spPr>
        <a:xfrm>
          <a:off x="6562725" y="2571750"/>
          <a:ext cx="252000" cy="180000"/>
        </a:xfrm>
        <a:prstGeom prst="roundRect">
          <a:avLst/>
        </a:prstGeom>
        <a:noFill/>
        <a:ln w="12700" cap="flat" cmpd="sng" algn="ctr">
          <a:solidFill>
            <a:srgbClr val="FF0000"/>
          </a:solidFill>
          <a:prstDash val="sysDash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512FBACE-5013-4696-8C76-D726202DAE0F}" type="TxLink">
            <a:rPr kumimoji="1" lang="en-US" altLang="en-US" sz="900" b="0" i="0" u="none" strike="noStrike" baseline="0">
              <a:solidFill>
                <a:srgbClr val="000000"/>
              </a:solidFill>
              <a:latin typeface="Meiryo UI"/>
              <a:ea typeface="Meiryo UI"/>
            </a:rPr>
            <a:pPr algn="ctr"/>
            <a:t>17</a:t>
          </a:fld>
          <a:endParaRPr kumimoji="1"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</a:endParaRPr>
        </a:p>
      </xdr:txBody>
    </xdr:sp>
    <xdr:clientData/>
  </xdr:twoCellAnchor>
  <xdr:twoCellAnchor>
    <xdr:from>
      <xdr:col>46</xdr:col>
      <xdr:colOff>85725</xdr:colOff>
      <xdr:row>16</xdr:row>
      <xdr:rowOff>85725</xdr:rowOff>
    </xdr:from>
    <xdr:to>
      <xdr:col>47</xdr:col>
      <xdr:colOff>156750</xdr:colOff>
      <xdr:row>17</xdr:row>
      <xdr:rowOff>113325</xdr:rowOff>
    </xdr:to>
    <xdr:sp macro="" textlink="画面項目定義!B22">
      <xdr:nvSpPr>
        <xdr:cNvPr id="31" name="四角形: 角を丸くする 156">
          <a:extLst>
            <a:ext uri="{FF2B5EF4-FFF2-40B4-BE49-F238E27FC236}">
              <a16:creationId xmlns:a16="http://schemas.microsoft.com/office/drawing/2014/main" id="{B8AD87D8-EB01-4C76-9230-6AFD83A5D14D}"/>
            </a:ext>
          </a:extLst>
        </xdr:cNvPr>
        <xdr:cNvSpPr/>
      </xdr:nvSpPr>
      <xdr:spPr>
        <a:xfrm>
          <a:off x="8439150" y="2571750"/>
          <a:ext cx="252000" cy="180000"/>
        </a:xfrm>
        <a:prstGeom prst="roundRect">
          <a:avLst/>
        </a:prstGeom>
        <a:noFill/>
        <a:ln w="12700" cap="flat" cmpd="sng" algn="ctr">
          <a:solidFill>
            <a:srgbClr val="FF0000"/>
          </a:solidFill>
          <a:prstDash val="sysDash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8FCD6670-1EAD-49A4-81D7-A55E28381EEC}" type="TxLink">
            <a:rPr kumimoji="1" lang="en-US" altLang="en-US" sz="900" b="0" i="0" u="none" strike="noStrike" baseline="0">
              <a:solidFill>
                <a:srgbClr val="000000"/>
              </a:solidFill>
              <a:latin typeface="Meiryo UI"/>
              <a:ea typeface="Meiryo UI"/>
            </a:rPr>
            <a:pPr algn="ctr"/>
            <a:t>19</a:t>
          </a:fld>
          <a:endParaRPr kumimoji="1"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24</xdr:col>
      <xdr:colOff>162474</xdr:colOff>
      <xdr:row>10</xdr:row>
      <xdr:rowOff>104939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0439F7-C012-493C-9493-046FE4722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457200"/>
          <a:ext cx="3934374" cy="11717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184731" cy="264560"/>
    <xdr:sp macro="" textlink="">
      <xdr:nvSpPr>
        <xdr:cNvPr id="2" name="TextBox 8">
          <a:extLst>
            <a:ext uri="{FF2B5EF4-FFF2-40B4-BE49-F238E27FC236}">
              <a16:creationId xmlns:a16="http://schemas.microsoft.com/office/drawing/2014/main" id="{3C25BC31-D9D6-4EE7-AE15-3DE0485D0292}"/>
            </a:ext>
          </a:extLst>
        </xdr:cNvPr>
        <xdr:cNvSpPr txBox="1"/>
      </xdr:nvSpPr>
      <xdr:spPr>
        <a:xfrm>
          <a:off x="1133475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74.158.247\ecteam\Documents%20and%20Settings\azuma\&#12487;&#12473;&#12463;&#12488;&#12483;&#12503;\API&#65286;&#12501;&#12449;&#12452;&#12523;&#38917;&#30446;&#26696;&#65288;&#26666;&#24335;&#27880;&#25991;&#12486;&#12540;&#12502;&#12523;&#65289;\API&#65286;&#12501;&#12449;&#12452;&#12523;&#38917;&#30446;&#26696;&#65288;&#25237;&#20449;&#27880;&#25991;&#12486;&#12540;&#12502;&#12523;&#6528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Work/04.LendingImprovement/11.Batch&#20462;&#27491;/02_DB&#35373;&#35336;/03_&#12486;&#12540;&#12502;&#12523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JOB/Doc/tack/22.&#22522;&#26412;&#35373;&#35336;/02.&#22522;&#26412;&#35373;&#35336;&#26360;/DB&#35373;&#35336;/&#12486;&#12540;&#12502;&#12523;&#23450;&#32681;&#26360;_CFD_HISTORY(CFD&#23653;&#27508;&#12486;&#12540;&#12502;&#12523;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DIATE_USER_ATTRIBUTE_INFO(&#20210;&#20171;&#26989;&#32773;&#39015;&#23458;&#21475;&#24231;&#23646;&#24615;)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JOB/Doc/tack/22.&#22522;&#26412;&#35373;&#35336;/02.&#22522;&#26412;&#35373;&#35336;&#26360;/DB&#35373;&#35336;/&#12486;&#12540;&#12502;&#12523;&#23450;&#32681;&#26360;_CFD_MARGIN(CFD&#35388;&#25312;&#37329;&#12486;&#12540;&#12502;&#12523;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csrv11\sbi_share\Users\TOMOKO~1.KAB\AppData\Local\Temp\PO_USER_ATTRBUTE_INFO(&#39015;&#23458;&#21475;&#24231;&#23646;&#24615;).xlsx-revHEAD.svn001.tm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.221\ccs\temp\No3%20CCS&#30330;&#27880;&#21487;&#21542;&#12510;&#12488;&#12522;&#12463;&#12473;_082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atsuya.oosaki/Documents/IFAP/&#26696;&#20214;/Ph1_0905/&#35373;&#35336;&#26360;&#12510;&#12540;&#12472;/&#20837;&#20986;&#37329;/&#12435;&#65343;&#30011;&#38754;&#23450;&#32681;&#26360;_SUB020302_0203-01_&#20837;&#20986;&#37329;&#26126;&#32048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&#30011;&#38754;&#23450;&#32681;&#26360;_SUB0504_03-01_&#30446;&#35542;&#35211;&#26360;&#38322;&#35239;&#12487;&#12540;&#12479;&#30331;&#37682;%20-%20Cop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0011;&#38754;&#23450;&#32681;&#26360;_SUB066_&#30446;&#35542;&#35211;&#26360;&#38322;&#35239;&#12487;&#12540;&#12479;&#30331;&#37682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改訂履歴"/>
      <sheetName val="テーブル定義"/>
      <sheetName val="改版履歴"/>
      <sheetName val="目次"/>
      <sheetName val="外部Function処理概要"/>
      <sheetName val="外部Function関連図"/>
      <sheetName val="使用Function・DAO一覧"/>
      <sheetName val="Function処理詳細"/>
      <sheetName val="単体チェック仕様"/>
      <sheetName val="DBチェック仕様"/>
      <sheetName val="ロック対象テーブル一覧"/>
      <sheetName val="テーブル参照仕様（国内株式注文サマリ）"/>
      <sheetName val="テーブル更新仕様(国内株式注文サマリ）"/>
      <sheetName val="テーブル登録仕様(国内株式注文移動管理)"/>
      <sheetName val="テーブル更新仕様(国内株式注文移動管理)"/>
      <sheetName val="OutDTO編集仕様"/>
      <sheetName val="Function処理詳細 (別紙)"/>
      <sheetName val="入力項目定義書"/>
      <sheetName val="出力項目定義書"/>
      <sheetName val="信用取引委託保証金計算の見直しPh2(②CCS仮計算)調査(C"/>
      <sheetName val="API＆ファイル項目案（投信注文テーブル）"/>
      <sheetName val="list"/>
      <sheetName val="基本設計_B-01-02_郵便番号データ取込み.xlsx"/>
      <sheetName val="Sheet1"/>
      <sheetName val="不具合原因リスト"/>
      <sheetName val="指摘要因_指定現象統計"/>
      <sheetName val="Pj."/>
      <sheetName val="入力値"/>
      <sheetName val="定義"/>
      <sheetName val="Sheet2"/>
      <sheetName val="画面一覧 (ステータス)"/>
      <sheetName val="指摘要因"/>
      <sheetName val="指摘現象_指摘要因_統計"/>
      <sheetName val="code"/>
      <sheetName val="リスト"/>
      <sheetName val="全体スケジュール"/>
      <sheetName val="パラメータ"/>
      <sheetName val="Calculating sheet"/>
      <sheetName val="リストデータ"/>
      <sheetName val="マスタ"/>
      <sheetName val="動作環境一覧"/>
      <sheetName val="const"/>
      <sheetName val="リストシート"/>
      <sheetName val="マスタシート"/>
      <sheetName val="（記載例）ディスクレーマ構築一覧"/>
      <sheetName val="（リスト）"/>
      <sheetName val="リスト一覧"/>
      <sheetName val="master"/>
      <sheetName val="実施管理"/>
      <sheetName val="リスト選択肢"/>
      <sheetName val="選択肢"/>
      <sheetName val="雛型"/>
      <sheetName val="（WK）リスト設定用"/>
      <sheetName val="define"/>
      <sheetName val="option"/>
      <sheetName val="設定"/>
      <sheetName val="WRK"/>
      <sheetName val="CTBL"/>
      <sheetName val="テスト制約集計シート"/>
      <sheetName val="入力規則管理用"/>
      <sheetName val="エクセル用リスト定義"/>
      <sheetName val="項目定義"/>
      <sheetName val="Def"/>
      <sheetName val="見積もり前提"/>
      <sheetName val="基礎データ"/>
      <sheetName val="INDEXES"/>
      <sheetName val="日付ﾃｰﾌﾞﾙ"/>
      <sheetName val="BOM系"/>
      <sheetName val="data"/>
      <sheetName val="#選択肢リスト"/>
      <sheetName val="処理時間の推移"/>
      <sheetName val="688"/>
      <sheetName val="プルダウンリスト定義"/>
      <sheetName val="記号"/>
      <sheetName val="選択リスト"/>
      <sheetName val="リスト値"/>
      <sheetName val="接続先ＦＴｻｰﾊﾞ開発機（HA070CR80）"/>
      <sheetName val="#REF"/>
      <sheetName val="入力規則"/>
      <sheetName val="非機能要件一覧(選択リスト)"/>
      <sheetName val="課題管理表"/>
      <sheetName val="Status"/>
      <sheetName val="ﾌｫﾛｰ96上"/>
      <sheetName val="ステータス説明"/>
      <sheetName val="ref)項目定義"/>
      <sheetName val="4.ref)項目定義"/>
      <sheetName val="【隠しシート】パラメータ"/>
      <sheetName val="リスト選択"/>
      <sheetName val="【印刷不要】定義"/>
      <sheetName val="テストケース"/>
      <sheetName val="【別紙】エラーメッセージ"/>
      <sheetName val="【参考】対象業務のシステム処理概要"/>
      <sheetName val="【別紙】住所ラベル顧客リスト"/>
      <sheetName val="【別紙】財形取引残高報告書(事業主ラベル)"/>
      <sheetName val="【別紙】財形事業主住所ラベル(月次)"/>
      <sheetName val="【別紙】ミリオン事業主住所ラベル(月次)"/>
      <sheetName val="【別紙】ミリオン事業主住所ラベル(半期)"/>
      <sheetName val="【参考】ケース作成観点"/>
      <sheetName val="【別紙】DB更新表"/>
      <sheetName val="【参考】住所ラベル顧客リスト管理"/>
      <sheetName val="【参考】ミリオン事業主住所ラベル(月次)"/>
      <sheetName val="【参考】ミリオン事業主住所ラベル(半期)"/>
      <sheetName val="【参考】財形事業主住所ラベル(月次)"/>
      <sheetName val="【参考】財形取引残高報告書(事業主ラベル)"/>
      <sheetName val="【参考】住所ラベル顧客リスト"/>
      <sheetName val="【参考】パターン表"/>
      <sheetName val="実行順序①"/>
      <sheetName val="実行順序②"/>
      <sheetName val="実行順序③"/>
      <sheetName val="CR、追いつき、品質向上"/>
      <sheetName val="現新比較"/>
      <sheetName val="01_決済日、特殊営業日"/>
      <sheetName val="ホストインタフェース設定表 (FC-CA) "/>
      <sheetName val="基本情報"/>
      <sheetName val="分解AX"/>
      <sheetName val="コール仕様"/>
      <sheetName val="テーブル参照仕様（権利未行使残高情報照会）"/>
      <sheetName val="テーブル参照仕様（前頁）"/>
      <sheetName val="テーブル参照仕様（次頁）"/>
      <sheetName val="テーブル参照仕様（事業会社契約）"/>
      <sheetName val="テーブル参照仕様（回号情報）"/>
      <sheetName val="テーブル参照仕様（権利者契約）"/>
      <sheetName val="テーブル登録仕様（）"/>
      <sheetName val="テーブル参照仕様（事業会社契約テーブル）"/>
      <sheetName val="テーブル参照仕様（権利者契約テーブル）1"/>
      <sheetName val="テーブル参照仕様（権利者契約テーブル）２"/>
      <sheetName val="テーブル参照仕様(権利行使消滅)"/>
      <sheetName val="機能一覧リスト"/>
      <sheetName val="_プルダウン"/>
      <sheetName val="収納レコード数"/>
      <sheetName val="LST"/>
      <sheetName val="見積もり工数シート"/>
      <sheetName val="別紙1_影響画面一覧"/>
      <sheetName val="別紙2_画面イメージ"/>
      <sheetName val="ステータス選択肢"/>
      <sheetName val="INサンプル"/>
      <sheetName val="OUTサンプル"/>
      <sheetName val="W_Sサンプル"/>
      <sheetName val="目次_情報まとめ"/>
      <sheetName val="Function処理詳細_(別紙)"/>
      <sheetName val="6-7_リリース評価 ・その他特記事項"/>
      <sheetName val="出力"/>
      <sheetName val="引数説明"/>
      <sheetName val="品質指標"/>
      <sheetName val="リスト候補値"/>
      <sheetName val="ステータス"/>
      <sheetName val="基本設計_B-01-01_郵便番号データ取得・転送.xlsx"/>
      <sheetName val="表紙"/>
      <sheetName val="入力補助"/>
      <sheetName val="社員リスト"/>
      <sheetName val="項目説明"/>
      <sheetName val="DropData"/>
      <sheetName val="メタ"/>
      <sheetName val="Sheet4"/>
      <sheetName val="基本設計_B-01-02_郵便番号データ取込み_xlsx"/>
      <sheetName val="中分類整理"/>
      <sheetName val="Dictionary"/>
      <sheetName val="言語とCOBOLへの換算係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変更履歴"/>
      <sheetName val="テーブル一覧"/>
      <sheetName val="主キー一覧"/>
      <sheetName val="インデックス一覧"/>
      <sheetName val="シーケンス一覧"/>
      <sheetName val="命名規則"/>
      <sheetName val="ロック順"/>
      <sheetName val="M_STOCK_DESC"/>
      <sheetName val="M_STOCK_LOAN_DESC"/>
      <sheetName val="M_STOCK_LOAN_DESC_HIST"/>
      <sheetName val="M_GENERAL_MASTER"/>
      <sheetName val="M_BUSINESS_DATE"/>
      <sheetName val="M_USER_CTL"/>
      <sheetName val="T_STOCK_ORDER_CTL"/>
      <sheetName val="T_FORCE_SETTLEMENT"/>
      <sheetName val="T_STOCK_POSITION_QTY_INIT"/>
      <sheetName val="T_STOCK_POSITION_QTY"/>
      <sheetName val="T_STOCK_POSITION_DETAIL_INI"/>
      <sheetName val="T_STOCK_POSITION_DETAIL"/>
      <sheetName val="T_STOCK_POSITION_HIST"/>
      <sheetName val="T_API_ACCESS_LOG"/>
      <sheetName val="T_BATCH_JOB_LOG"/>
      <sheetName val="T_LENDING_ORDER"/>
      <sheetName val="T_CARRY_ORDER"/>
      <sheetName val="T_WEB_ACCESS_LOG"/>
      <sheetName val="B_BATCH_CTL"/>
      <sheetName val="B_BATCH_PROCESS_RESULT"/>
      <sheetName val="B_TABLE_DELETE_CTL"/>
      <sheetName val="T_SIM_LOAN_REMAIN"/>
      <sheetName val="T_SIM_LENDING_DETAIL"/>
      <sheetName val="T_SIM_STOCK_LOAN_REMAIN"/>
      <sheetName val="T_SIM_SAITANPO"/>
      <sheetName val="T_PREMIUM_DIFF"/>
      <sheetName val="T_DS_ACCOUNT_TRANSFER"/>
      <sheetName val="T_IMP_SYS_MARGIN_BACK"/>
      <sheetName val="M_CA_CODE_MASTER"/>
      <sheetName val="T_LIMIT_PRICE"/>
      <sheetName val="T_PRICE_INFO"/>
      <sheetName val="T_CA_INFO"/>
      <sheetName val="T_CA_INFO_DISP"/>
      <sheetName val="M_AUTH_CTL"/>
      <sheetName val="M_MARKET"/>
      <sheetName val="T_STOCK_STATUS"/>
      <sheetName val="T_STOCK_STATUS_DAILY"/>
      <sheetName val="T_STOCK_STATUS_TDY"/>
      <sheetName val="T_STOCK_STATUS_HIST"/>
      <sheetName val="M_ALERT"/>
      <sheetName val="T_ALERT_STATUS"/>
      <sheetName val="T_ALERT_INFO_LIQUIDATION"/>
      <sheetName val="T_ALERT_INFO_STOCK"/>
      <sheetName val="T_ALERT_MAIL"/>
      <sheetName val="M_B_S_UNIT"/>
      <sheetName val="T_LENDING_APP_INFO"/>
      <sheetName val="T_LENDING_ADOP_RES"/>
      <sheetName val="原本"/>
      <sheetName val="各種データ"/>
      <sheetName val="tack.tate_buy_la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">
          <cell r="A2" t="str">
            <v>ORACLE</v>
          </cell>
          <cell r="B2" t="str">
            <v>CHAR</v>
          </cell>
          <cell r="C2" t="str">
            <v>bigint</v>
          </cell>
          <cell r="D2" t="str">
            <v>tinyint</v>
          </cell>
          <cell r="E2" t="str">
            <v>TEXT</v>
          </cell>
          <cell r="F2" t="str">
            <v>bigint</v>
          </cell>
        </row>
        <row r="3">
          <cell r="A3" t="str">
            <v>SQLServer</v>
          </cell>
          <cell r="B3" t="str">
            <v>VARCHAR2</v>
          </cell>
          <cell r="C3" t="str">
            <v>binary</v>
          </cell>
          <cell r="D3" t="str">
            <v>smallint</v>
          </cell>
          <cell r="E3" t="str">
            <v>NUMERIC</v>
          </cell>
          <cell r="F3" t="str">
            <v>bigserial</v>
          </cell>
        </row>
        <row r="4">
          <cell r="A4" t="str">
            <v>MySQL</v>
          </cell>
          <cell r="B4" t="str">
            <v>NCHAR</v>
          </cell>
          <cell r="C4" t="str">
            <v>bit</v>
          </cell>
          <cell r="D4" t="str">
            <v>mediumint</v>
          </cell>
          <cell r="E4" t="str">
            <v>INTEGER</v>
          </cell>
          <cell r="F4" t="str">
            <v>bit</v>
          </cell>
        </row>
        <row r="5">
          <cell r="A5" t="str">
            <v>PostgreSQL</v>
          </cell>
          <cell r="B5" t="str">
            <v>NVARCHAR2</v>
          </cell>
          <cell r="C5" t="str">
            <v>char</v>
          </cell>
          <cell r="D5" t="str">
            <v>int</v>
          </cell>
          <cell r="E5" t="str">
            <v>REAL</v>
          </cell>
          <cell r="F5" t="str">
            <v>varbit</v>
          </cell>
        </row>
        <row r="6">
          <cell r="A6" t="str">
            <v>SQLite</v>
          </cell>
          <cell r="B6" t="str">
            <v>NUMBER</v>
          </cell>
          <cell r="C6" t="str">
            <v>datetime</v>
          </cell>
          <cell r="D6" t="str">
            <v>integer</v>
          </cell>
          <cell r="E6" t="str">
            <v>NONE</v>
          </cell>
          <cell r="F6" t="str">
            <v>bool</v>
          </cell>
        </row>
        <row r="7">
          <cell r="B7" t="str">
            <v>DATE</v>
          </cell>
          <cell r="C7" t="str">
            <v>decimal</v>
          </cell>
          <cell r="D7" t="str">
            <v>bigint</v>
          </cell>
          <cell r="F7" t="str">
            <v>bytea</v>
          </cell>
        </row>
        <row r="8">
          <cell r="B8" t="str">
            <v>TIMESTAMP</v>
          </cell>
          <cell r="C8" t="str">
            <v>float</v>
          </cell>
          <cell r="D8" t="str">
            <v>float</v>
          </cell>
          <cell r="F8" t="str">
            <v>varchar</v>
          </cell>
        </row>
        <row r="9">
          <cell r="B9" t="str">
            <v>TIMESTAMP WITH TIME ZONE</v>
          </cell>
          <cell r="C9" t="str">
            <v>image</v>
          </cell>
          <cell r="D9" t="str">
            <v>double</v>
          </cell>
          <cell r="F9" t="str">
            <v>char</v>
          </cell>
        </row>
        <row r="10">
          <cell r="B10" t="str">
            <v>TIMESTAMP WITH LOCAL TIME ZONE</v>
          </cell>
          <cell r="C10" t="str">
            <v>int</v>
          </cell>
          <cell r="D10" t="str">
            <v>real</v>
          </cell>
          <cell r="F10" t="str">
            <v>cidr</v>
          </cell>
        </row>
        <row r="11">
          <cell r="B11" t="str">
            <v>INTERVAL YEAR TO MONTH</v>
          </cell>
          <cell r="C11" t="str">
            <v>money</v>
          </cell>
          <cell r="D11" t="str">
            <v>decimal</v>
          </cell>
          <cell r="F11" t="str">
            <v>circle</v>
          </cell>
        </row>
        <row r="12">
          <cell r="B12" t="str">
            <v>INTERVAL DAY TO SECOND</v>
          </cell>
          <cell r="C12" t="str">
            <v>nchar</v>
          </cell>
          <cell r="D12" t="str">
            <v>numeric</v>
          </cell>
          <cell r="F12" t="str">
            <v>date</v>
          </cell>
        </row>
        <row r="13">
          <cell r="B13" t="str">
            <v>RAW</v>
          </cell>
          <cell r="C13" t="str">
            <v>ntext</v>
          </cell>
          <cell r="D13" t="str">
            <v>bit</v>
          </cell>
          <cell r="F13" t="str">
            <v>float8</v>
          </cell>
        </row>
        <row r="14">
          <cell r="B14" t="str">
            <v>LONG</v>
          </cell>
          <cell r="C14" t="str">
            <v>numeric</v>
          </cell>
          <cell r="D14" t="str">
            <v>date</v>
          </cell>
          <cell r="F14" t="str">
            <v>inet</v>
          </cell>
        </row>
        <row r="15">
          <cell r="B15" t="str">
            <v>LONG RAW</v>
          </cell>
          <cell r="C15" t="str">
            <v>nvarchar</v>
          </cell>
          <cell r="D15" t="str">
            <v>datetime</v>
          </cell>
          <cell r="F15" t="str">
            <v>integer</v>
          </cell>
        </row>
        <row r="16">
          <cell r="B16" t="str">
            <v>BLOB</v>
          </cell>
          <cell r="C16" t="str">
            <v>nvarchar(max)</v>
          </cell>
          <cell r="D16" t="str">
            <v>timestamp</v>
          </cell>
          <cell r="F16" t="str">
            <v>money</v>
          </cell>
        </row>
        <row r="17">
          <cell r="B17" t="str">
            <v>CLOB</v>
          </cell>
          <cell r="C17" t="str">
            <v>real</v>
          </cell>
          <cell r="D17" t="str">
            <v>time</v>
          </cell>
          <cell r="F17" t="str">
            <v>numeric</v>
          </cell>
        </row>
        <row r="18">
          <cell r="B18" t="str">
            <v>NCLOB</v>
          </cell>
          <cell r="C18" t="str">
            <v>smalldatetime</v>
          </cell>
          <cell r="D18" t="str">
            <v>year</v>
          </cell>
          <cell r="F18" t="str">
            <v>real</v>
          </cell>
        </row>
        <row r="19">
          <cell r="B19" t="str">
            <v>BFILE</v>
          </cell>
          <cell r="C19" t="str">
            <v>smallint</v>
          </cell>
          <cell r="D19" t="str">
            <v>char</v>
          </cell>
          <cell r="F19" t="str">
            <v>smallint</v>
          </cell>
        </row>
        <row r="20">
          <cell r="B20" t="str">
            <v>ROWID</v>
          </cell>
          <cell r="C20" t="str">
            <v>smallmoney</v>
          </cell>
          <cell r="D20" t="str">
            <v>varchar</v>
          </cell>
          <cell r="F20" t="str">
            <v>serial</v>
          </cell>
        </row>
        <row r="21">
          <cell r="C21" t="str">
            <v>sql_variant</v>
          </cell>
          <cell r="D21" t="str">
            <v>binary</v>
          </cell>
          <cell r="F21" t="str">
            <v>text</v>
          </cell>
        </row>
        <row r="22">
          <cell r="C22" t="str">
            <v>sysname</v>
          </cell>
          <cell r="D22" t="str">
            <v>varbinary</v>
          </cell>
          <cell r="F22" t="str">
            <v>time</v>
          </cell>
        </row>
        <row r="23">
          <cell r="C23" t="str">
            <v>text</v>
          </cell>
          <cell r="D23" t="str">
            <v>tinyblob</v>
          </cell>
          <cell r="F23" t="str">
            <v>timestamp</v>
          </cell>
        </row>
        <row r="24">
          <cell r="C24" t="str">
            <v>timestamp</v>
          </cell>
          <cell r="D24" t="str">
            <v>tinytext</v>
          </cell>
          <cell r="F24" t="str">
            <v>uuid</v>
          </cell>
        </row>
        <row r="25">
          <cell r="C25" t="str">
            <v>tinyint</v>
          </cell>
          <cell r="D25" t="str">
            <v>blob</v>
          </cell>
          <cell r="F25" t="str">
            <v>xml</v>
          </cell>
        </row>
        <row r="26">
          <cell r="C26" t="str">
            <v>uniqueidentifier</v>
          </cell>
          <cell r="D26" t="str">
            <v>text</v>
          </cell>
        </row>
        <row r="27">
          <cell r="C27" t="str">
            <v>varbinary</v>
          </cell>
          <cell r="D27" t="str">
            <v>mediumblob</v>
          </cell>
        </row>
        <row r="28">
          <cell r="C28" t="str">
            <v>varbinary(max)</v>
          </cell>
          <cell r="D28" t="str">
            <v>mediumtext</v>
          </cell>
        </row>
        <row r="29">
          <cell r="C29" t="str">
            <v>varchar</v>
          </cell>
          <cell r="D29" t="str">
            <v>longblob</v>
          </cell>
        </row>
        <row r="30">
          <cell r="C30" t="str">
            <v>varchar(max)</v>
          </cell>
          <cell r="D30" t="str">
            <v>longtext</v>
          </cell>
        </row>
        <row r="31">
          <cell r="C31" t="str">
            <v>xml</v>
          </cell>
        </row>
      </sheetData>
      <sheetData sheetId="57">
        <row r="2">
          <cell r="A2">
            <v>153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変更履歴"/>
      <sheetName val="CFD_HISTORY"/>
      <sheetName val="マスタ"/>
    </sheetNames>
    <sheetDataSet>
      <sheetData sheetId="0"/>
      <sheetData sheetId="1"/>
      <sheetData sheetId="2"/>
      <sheetData sheetId="3">
        <row r="3">
          <cell r="B3" t="str">
            <v>Oracle</v>
          </cell>
          <cell r="D3" t="str">
            <v>ET10</v>
          </cell>
          <cell r="E3" t="str">
            <v>ETRADE</v>
          </cell>
          <cell r="F3" t="str">
            <v>認証</v>
          </cell>
          <cell r="G3" t="str">
            <v>時価情報</v>
          </cell>
          <cell r="H3" t="str">
            <v>挿入/更新なし</v>
          </cell>
          <cell r="I3" t="str">
            <v>オンライン</v>
          </cell>
        </row>
        <row r="4">
          <cell r="B4" t="str">
            <v>PostgreSQL</v>
          </cell>
          <cell r="D4" t="str">
            <v>ETI</v>
          </cell>
          <cell r="E4" t="str">
            <v>ZERO</v>
          </cell>
          <cell r="F4" t="str">
            <v>顧客</v>
          </cell>
          <cell r="G4" t="str">
            <v>国内株</v>
          </cell>
          <cell r="H4" t="str">
            <v>蓄積/差分更新</v>
          </cell>
          <cell r="I4" t="str">
            <v>バッチ</v>
          </cell>
        </row>
        <row r="5">
          <cell r="D5" t="str">
            <v>CFV2</v>
          </cell>
          <cell r="E5" t="str">
            <v>BM_WEB</v>
          </cell>
          <cell r="F5" t="str">
            <v>商品・
カレンダー・
手数料</v>
          </cell>
          <cell r="G5" t="str">
            <v>外国株</v>
          </cell>
          <cell r="H5" t="str">
            <v>洗替</v>
          </cell>
          <cell r="I5" t="str">
            <v>バッチ&amp;オンライン</v>
          </cell>
        </row>
        <row r="6">
          <cell r="D6" t="str">
            <v>MKDB</v>
          </cell>
          <cell r="E6" t="str">
            <v>KAGO_WEB</v>
          </cell>
          <cell r="F6" t="str">
            <v>トランザクション</v>
          </cell>
          <cell r="G6" t="str">
            <v>MMF・中国F・MRF</v>
          </cell>
        </row>
        <row r="7">
          <cell r="D7" t="str">
            <v>DERIV</v>
          </cell>
          <cell r="E7" t="str">
            <v>ETINTRA</v>
          </cell>
          <cell r="F7" t="str">
            <v>履歴</v>
          </cell>
          <cell r="G7" t="str">
            <v>外貨建MMF</v>
          </cell>
        </row>
        <row r="8">
          <cell r="D8" t="str">
            <v>WEBDB</v>
          </cell>
          <cell r="E8" t="str">
            <v>CALLCENTER</v>
          </cell>
          <cell r="F8" t="str">
            <v>サービス</v>
          </cell>
          <cell r="G8" t="str">
            <v>投信</v>
          </cell>
        </row>
        <row r="9">
          <cell r="D9" t="str">
            <v>ETRD.ETRADE.NE.JP</v>
          </cell>
          <cell r="E9" t="str">
            <v>CORDYS</v>
          </cell>
          <cell r="F9" t="str">
            <v>社内</v>
          </cell>
          <cell r="G9" t="str">
            <v>債券</v>
          </cell>
        </row>
        <row r="10">
          <cell r="D10" t="str">
            <v>TACK</v>
          </cell>
          <cell r="E10" t="str">
            <v>CORDYS_ID</v>
          </cell>
          <cell r="F10" t="str">
            <v>システム制御</v>
          </cell>
          <cell r="G10" t="str">
            <v>為替</v>
          </cell>
        </row>
        <row r="11">
          <cell r="E11" t="str">
            <v>CIT</v>
          </cell>
          <cell r="F11" t="str">
            <v>Temp</v>
          </cell>
          <cell r="G11" t="str">
            <v>FXα</v>
          </cell>
        </row>
        <row r="12">
          <cell r="E12" t="str">
            <v>BATCH</v>
          </cell>
          <cell r="G12" t="str">
            <v>先物・オプション</v>
          </cell>
        </row>
        <row r="13">
          <cell r="E13" t="str">
            <v>KAGO_BATCH</v>
          </cell>
          <cell r="G13" t="str">
            <v>カバードワラント</v>
          </cell>
        </row>
        <row r="14">
          <cell r="E14" t="str">
            <v>BEETLE</v>
          </cell>
          <cell r="G14" t="str">
            <v>貸株</v>
          </cell>
        </row>
        <row r="15">
          <cell r="E15" t="str">
            <v>CFIF</v>
          </cell>
          <cell r="G15" t="str">
            <v>コムストックローン</v>
          </cell>
        </row>
        <row r="16">
          <cell r="E16" t="str">
            <v>FPTS</v>
          </cell>
          <cell r="G16" t="str">
            <v>保険他</v>
          </cell>
        </row>
        <row r="17">
          <cell r="E17" t="str">
            <v>MARKETING</v>
          </cell>
          <cell r="G17" t="str">
            <v>銀行</v>
          </cell>
        </row>
        <row r="18">
          <cell r="E18" t="str">
            <v>FOPTRADE</v>
          </cell>
          <cell r="G18" t="str">
            <v>入金</v>
          </cell>
        </row>
        <row r="19">
          <cell r="E19" t="str">
            <v>E_TRADE</v>
          </cell>
          <cell r="G19" t="str">
            <v>出金</v>
          </cell>
        </row>
        <row r="20">
          <cell r="E20" t="str">
            <v>ISAIF</v>
          </cell>
          <cell r="G20" t="str">
            <v>ATMカード</v>
          </cell>
        </row>
        <row r="21">
          <cell r="G21" t="str">
            <v>口座開設</v>
          </cell>
        </row>
        <row r="22">
          <cell r="G22" t="str">
            <v>口座属性変更</v>
          </cell>
        </row>
        <row r="23">
          <cell r="G23" t="str">
            <v>コンテンツ</v>
          </cell>
        </row>
        <row r="24">
          <cell r="G24" t="str">
            <v>前後場悪化リスト</v>
          </cell>
        </row>
        <row r="25">
          <cell r="G25" t="str">
            <v>その他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更新履歴"/>
      <sheetName val="レイアウト"/>
      <sheetName val="マスタ"/>
      <sheetName val="MEDIATE_USER_ATTRIBUTE_INFO"/>
      <sheetName val="Sheet1"/>
      <sheetName val="リスト"/>
      <sheetName val="各種データ"/>
    </sheetNames>
    <sheetDataSet>
      <sheetData sheetId="0" refreshError="1"/>
      <sheetData sheetId="1"/>
      <sheetData sheetId="2">
        <row r="3">
          <cell r="B3" t="str">
            <v>Oracle</v>
          </cell>
          <cell r="D3" t="str">
            <v>ET10</v>
          </cell>
          <cell r="E3" t="str">
            <v>ETRADE</v>
          </cell>
          <cell r="F3" t="str">
            <v>認証</v>
          </cell>
          <cell r="G3" t="str">
            <v>時価情報</v>
          </cell>
          <cell r="H3" t="str">
            <v>蓄積/差分更新</v>
          </cell>
          <cell r="I3" t="str">
            <v>オンライン</v>
          </cell>
        </row>
        <row r="4">
          <cell r="B4" t="str">
            <v>PostgreSQL</v>
          </cell>
          <cell r="D4" t="str">
            <v>ETI</v>
          </cell>
          <cell r="E4" t="str">
            <v>ZERO</v>
          </cell>
          <cell r="F4" t="str">
            <v>顧客</v>
          </cell>
          <cell r="G4" t="str">
            <v>国内株</v>
          </cell>
          <cell r="H4" t="str">
            <v>洗替</v>
          </cell>
          <cell r="I4" t="str">
            <v>バッチ</v>
          </cell>
        </row>
        <row r="5">
          <cell r="D5" t="str">
            <v>CFV2</v>
          </cell>
          <cell r="E5" t="str">
            <v>BM_WEB</v>
          </cell>
          <cell r="F5" t="str">
            <v>商品・
カレンダー・
手数料</v>
          </cell>
          <cell r="G5" t="str">
            <v>外国株</v>
          </cell>
          <cell r="H5" t="str">
            <v>挿入/更新なし</v>
          </cell>
        </row>
        <row r="6">
          <cell r="D6" t="str">
            <v>MKDB</v>
          </cell>
          <cell r="E6" t="str">
            <v>KAGO_WEB</v>
          </cell>
          <cell r="F6" t="str">
            <v>トランザクション</v>
          </cell>
          <cell r="G6" t="str">
            <v>MMF・中国F・MRF</v>
          </cell>
        </row>
        <row r="7">
          <cell r="D7" t="str">
            <v>DERIV</v>
          </cell>
          <cell r="E7" t="str">
            <v>ETINTRA</v>
          </cell>
          <cell r="F7" t="str">
            <v>履歴</v>
          </cell>
          <cell r="G7" t="str">
            <v>外貨建MMF</v>
          </cell>
        </row>
        <row r="8">
          <cell r="D8" t="str">
            <v>WEBDB</v>
          </cell>
          <cell r="E8" t="str">
            <v>CALLCENTER</v>
          </cell>
          <cell r="F8" t="str">
            <v>サービス</v>
          </cell>
          <cell r="G8" t="str">
            <v>投信</v>
          </cell>
        </row>
        <row r="9">
          <cell r="D9" t="str">
            <v>ETRD.ETRADE.NE.JP</v>
          </cell>
          <cell r="E9" t="str">
            <v>CORDYS</v>
          </cell>
          <cell r="F9" t="str">
            <v>社内</v>
          </cell>
          <cell r="G9" t="str">
            <v>債券</v>
          </cell>
        </row>
        <row r="10">
          <cell r="D10" t="str">
            <v>ZPKG</v>
          </cell>
          <cell r="E10" t="str">
            <v>CORDYS_ID</v>
          </cell>
          <cell r="F10" t="str">
            <v>システム制御</v>
          </cell>
          <cell r="G10" t="str">
            <v>為替</v>
          </cell>
        </row>
        <row r="11">
          <cell r="E11" t="str">
            <v>CIT</v>
          </cell>
          <cell r="F11" t="str">
            <v>Temp</v>
          </cell>
          <cell r="G11" t="str">
            <v>FXα</v>
          </cell>
        </row>
        <row r="12">
          <cell r="E12" t="str">
            <v>BATCH</v>
          </cell>
          <cell r="G12" t="str">
            <v>先物・オプション</v>
          </cell>
        </row>
        <row r="13">
          <cell r="E13" t="str">
            <v>KAGO_BATCH</v>
          </cell>
          <cell r="G13" t="str">
            <v>カバードワラント</v>
          </cell>
        </row>
        <row r="14">
          <cell r="E14" t="str">
            <v>BEETLE</v>
          </cell>
          <cell r="G14" t="str">
            <v>貸株</v>
          </cell>
        </row>
        <row r="15">
          <cell r="E15" t="str">
            <v>CFIF</v>
          </cell>
          <cell r="G15" t="str">
            <v>コムストックローン</v>
          </cell>
        </row>
        <row r="16">
          <cell r="E16" t="str">
            <v>FPTS</v>
          </cell>
          <cell r="G16" t="str">
            <v>保険他</v>
          </cell>
        </row>
        <row r="17">
          <cell r="E17" t="str">
            <v>MARKETING</v>
          </cell>
          <cell r="G17" t="str">
            <v>銀行</v>
          </cell>
        </row>
        <row r="18">
          <cell r="E18" t="str">
            <v>FOPTRADE</v>
          </cell>
          <cell r="G18" t="str">
            <v>入金</v>
          </cell>
        </row>
        <row r="19">
          <cell r="E19" t="str">
            <v>E_TRADE</v>
          </cell>
          <cell r="G19" t="str">
            <v>出金</v>
          </cell>
        </row>
        <row r="20">
          <cell r="E20" t="str">
            <v>ISAIF</v>
          </cell>
          <cell r="G20" t="str">
            <v>ATMカード</v>
          </cell>
        </row>
        <row r="21">
          <cell r="G21" t="str">
            <v>口座開設</v>
          </cell>
        </row>
        <row r="22">
          <cell r="G22" t="str">
            <v>口座属性変更</v>
          </cell>
        </row>
        <row r="23">
          <cell r="G23" t="str">
            <v>コンテンツ</v>
          </cell>
        </row>
        <row r="24">
          <cell r="G24" t="str">
            <v>仲介業</v>
          </cell>
        </row>
        <row r="25">
          <cell r="G25" t="str">
            <v>その他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変更履歴"/>
      <sheetName val="CFD_MARGIN"/>
      <sheetName val="マスタ"/>
    </sheetNames>
    <sheetDataSet>
      <sheetData sheetId="0"/>
      <sheetData sheetId="1"/>
      <sheetData sheetId="2"/>
      <sheetData sheetId="3">
        <row r="3">
          <cell r="C3" t="str">
            <v>VARCHAR</v>
          </cell>
        </row>
        <row r="4">
          <cell r="C4" t="str">
            <v>CHAR</v>
          </cell>
        </row>
        <row r="5">
          <cell r="C5" t="str">
            <v>DATE</v>
          </cell>
        </row>
        <row r="6">
          <cell r="C6" t="str">
            <v>TIMESTAMP</v>
          </cell>
        </row>
        <row r="7">
          <cell r="C7" t="str">
            <v>NUMERIC</v>
          </cell>
        </row>
        <row r="8">
          <cell r="C8" t="str">
            <v>TEXT</v>
          </cell>
        </row>
        <row r="9">
          <cell r="C9" t="str">
            <v>REAL</v>
          </cell>
        </row>
        <row r="10">
          <cell r="C10" t="str">
            <v>DOUBLE PRECISION</v>
          </cell>
        </row>
        <row r="11">
          <cell r="C11" t="str">
            <v>SMALLINT</v>
          </cell>
        </row>
        <row r="12">
          <cell r="C12" t="str">
            <v>INTEGER</v>
          </cell>
        </row>
        <row r="13">
          <cell r="C13" t="str">
            <v>BOOLEAN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レイアウト"/>
      <sheetName val="更新履歴"/>
      <sheetName val="マスタ"/>
    </sheetNames>
    <sheetDataSet>
      <sheetData sheetId="0"/>
      <sheetData sheetId="1"/>
      <sheetData sheetId="2">
        <row r="3">
          <cell r="C3" t="str">
            <v>VARCHAR2</v>
          </cell>
        </row>
        <row r="4">
          <cell r="C4" t="str">
            <v>CHAR</v>
          </cell>
        </row>
        <row r="5">
          <cell r="C5" t="str">
            <v>DATE</v>
          </cell>
        </row>
        <row r="6">
          <cell r="C6" t="str">
            <v>TIMESTAMP</v>
          </cell>
        </row>
        <row r="7">
          <cell r="C7" t="str">
            <v>NUMBER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CS発注可否マトリクス"/>
      <sheetName val="CCS発注可否マトリクス(NRI記載)"/>
      <sheetName val="【別紙1】以前ご提示頂きました資料"/>
      <sheetName val="【別紙2】一覧非表示案"/>
      <sheetName val="【ご参考】目論見書の閲覧チェック機能について"/>
      <sheetName val="改訂履歴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リスト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変更履歴"/>
      <sheetName val="目次"/>
      <sheetName val="概要"/>
      <sheetName val="画面レイアウト"/>
      <sheetName val="画面項目定義"/>
      <sheetName val="Action定義"/>
      <sheetName val="Actionパラメータ"/>
      <sheetName val="SQL定義"/>
      <sheetName val="アップロード用テンプレート説明"/>
      <sheetName val="入力チェック"/>
      <sheetName val="リスト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アクションID</v>
          </cell>
          <cell r="C2" t="str">
            <v>アクション名称</v>
          </cell>
        </row>
        <row r="3">
          <cell r="B3" t="str">
            <v>A001</v>
          </cell>
          <cell r="C3" t="str">
            <v>ファイル選択押下</v>
          </cell>
        </row>
        <row r="4">
          <cell r="B4" t="str">
            <v>A001</v>
          </cell>
          <cell r="C4" t="str">
            <v>ファイル選択押下</v>
          </cell>
        </row>
        <row r="5">
          <cell r="B5" t="str">
            <v>A002</v>
          </cell>
          <cell r="C5" t="str">
            <v>確認押下</v>
          </cell>
        </row>
        <row r="32">
          <cell r="B32" t="str">
            <v>A003</v>
          </cell>
          <cell r="C32" t="str">
            <v>登録押下</v>
          </cell>
        </row>
        <row r="34">
          <cell r="C34" t="str">
            <v xml:space="preserve">   </v>
          </cell>
        </row>
        <row r="44">
          <cell r="B44" t="str">
            <v>A004</v>
          </cell>
          <cell r="C44" t="str">
            <v>NGダウンロード押下</v>
          </cell>
        </row>
        <row r="45">
          <cell r="B45" t="str">
            <v>A004</v>
          </cell>
          <cell r="C45" t="str">
            <v>NGダウンロード押下</v>
          </cell>
        </row>
        <row r="46">
          <cell r="B46" t="str">
            <v>A004</v>
          </cell>
          <cell r="C46" t="str">
            <v>NGダウンロード押下</v>
          </cell>
        </row>
        <row r="47">
          <cell r="B47" t="str">
            <v>A005</v>
          </cell>
          <cell r="C47" t="str">
            <v>クリア押下</v>
          </cell>
        </row>
        <row r="50">
          <cell r="B50" t="str">
            <v>A006</v>
          </cell>
          <cell r="C50" t="str">
            <v>NGあり押下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変更履歴"/>
      <sheetName val="画面レイアウト"/>
      <sheetName val="画面項目定義"/>
      <sheetName val="Action一覧"/>
      <sheetName val="A001"/>
      <sheetName val="A002"/>
      <sheetName val="A003"/>
      <sheetName val="A004"/>
      <sheetName val="A005"/>
      <sheetName val="A006"/>
      <sheetName val="入力チェック"/>
      <sheetName val="アップロード用テンプレート説明"/>
      <sheetName val="ログ情報"/>
      <sheetName val="選択肢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AY54"/>
  <sheetViews>
    <sheetView showGridLines="0" view="pageBreakPreview" topLeftCell="A4" zoomScaleNormal="100" zoomScaleSheetLayoutView="100" workbookViewId="0">
      <selection activeCell="A4" sqref="A4"/>
    </sheetView>
  </sheetViews>
  <sheetFormatPr defaultColWidth="2.7109375" defaultRowHeight="12" customHeight="1"/>
  <cols>
    <col min="1" max="38" width="2.7109375" style="152"/>
    <col min="39" max="39" width="2.7109375" style="152" customWidth="1"/>
    <col min="40" max="16384" width="2.7109375" style="152"/>
  </cols>
  <sheetData>
    <row r="1" spans="1:51" ht="12" customHeight="1">
      <c r="A1" s="149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1"/>
    </row>
    <row r="2" spans="1:51" ht="12" customHeight="1">
      <c r="A2" s="153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4"/>
      <c r="AX2" s="154"/>
      <c r="AY2" s="155"/>
    </row>
    <row r="3" spans="1:51" ht="12" customHeight="1">
      <c r="A3" s="153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54"/>
      <c r="AQ3" s="154"/>
      <c r="AR3" s="154"/>
      <c r="AS3" s="154"/>
      <c r="AT3" s="154"/>
      <c r="AU3" s="154"/>
      <c r="AV3" s="154"/>
      <c r="AW3" s="154"/>
      <c r="AX3" s="154"/>
      <c r="AY3" s="155"/>
    </row>
    <row r="4" spans="1:51" ht="12" customHeight="1">
      <c r="A4" s="153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O4" s="154"/>
      <c r="AP4" s="154"/>
      <c r="AQ4" s="154"/>
      <c r="AR4" s="154"/>
      <c r="AS4" s="154"/>
      <c r="AT4" s="154"/>
      <c r="AU4" s="154"/>
      <c r="AV4" s="154"/>
      <c r="AW4" s="154"/>
      <c r="AX4" s="154"/>
      <c r="AY4" s="155"/>
    </row>
    <row r="5" spans="1:51" ht="12" customHeight="1">
      <c r="A5" s="153"/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  <c r="AJ5" s="154"/>
      <c r="AK5" s="154"/>
      <c r="AL5" s="154"/>
      <c r="AM5" s="154"/>
      <c r="AN5" s="154"/>
      <c r="AO5" s="154"/>
      <c r="AP5" s="154"/>
      <c r="AQ5" s="154"/>
      <c r="AR5" s="154"/>
      <c r="AS5" s="154"/>
      <c r="AT5" s="154"/>
      <c r="AU5" s="154"/>
      <c r="AV5" s="154"/>
      <c r="AW5" s="154"/>
      <c r="AX5" s="154"/>
      <c r="AY5" s="155"/>
    </row>
    <row r="6" spans="1:51" ht="12" customHeight="1">
      <c r="A6" s="153"/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4"/>
      <c r="AS6" s="154"/>
      <c r="AT6" s="154"/>
      <c r="AU6" s="154"/>
      <c r="AV6" s="154"/>
      <c r="AW6" s="154"/>
      <c r="AX6" s="154"/>
      <c r="AY6" s="155"/>
    </row>
    <row r="7" spans="1:51" ht="12" customHeight="1">
      <c r="A7" s="153"/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4"/>
      <c r="AS7" s="154"/>
      <c r="AT7" s="154"/>
      <c r="AU7" s="154"/>
      <c r="AV7" s="154"/>
      <c r="AW7" s="154"/>
      <c r="AX7" s="154"/>
      <c r="AY7" s="155"/>
    </row>
    <row r="8" spans="1:51" ht="12" customHeight="1">
      <c r="A8" s="153"/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F8" s="154"/>
      <c r="AG8" s="154"/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  <c r="AV8" s="154"/>
      <c r="AW8" s="154"/>
      <c r="AX8" s="154"/>
      <c r="AY8" s="155"/>
    </row>
    <row r="9" spans="1:51" ht="12" customHeight="1">
      <c r="A9" s="153"/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4"/>
      <c r="AW9" s="154"/>
      <c r="AX9" s="154"/>
      <c r="AY9" s="155"/>
    </row>
    <row r="10" spans="1:51" ht="12" customHeight="1">
      <c r="A10" s="153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  <c r="AX10" s="154"/>
      <c r="AY10" s="155"/>
    </row>
    <row r="11" spans="1:51" ht="12" customHeight="1">
      <c r="A11" s="153"/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  <c r="AR11" s="154"/>
      <c r="AS11" s="154"/>
      <c r="AT11" s="154"/>
      <c r="AU11" s="154"/>
      <c r="AV11" s="154"/>
      <c r="AW11" s="154"/>
      <c r="AX11" s="154"/>
      <c r="AY11" s="155"/>
    </row>
    <row r="12" spans="1:51" ht="12" customHeight="1">
      <c r="A12" s="153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  <c r="AR12" s="154"/>
      <c r="AS12" s="154"/>
      <c r="AT12" s="154"/>
      <c r="AU12" s="154"/>
      <c r="AV12" s="154"/>
      <c r="AW12" s="154"/>
      <c r="AX12" s="154"/>
      <c r="AY12" s="155"/>
    </row>
    <row r="13" spans="1:51" ht="12" customHeight="1">
      <c r="A13" s="153"/>
      <c r="B13" s="154"/>
      <c r="C13" s="154"/>
      <c r="D13" s="154"/>
      <c r="E13" s="154"/>
      <c r="F13" s="154"/>
      <c r="G13" s="154"/>
      <c r="H13" s="154"/>
      <c r="I13" s="154"/>
      <c r="J13" s="372" t="str">
        <f>J52</f>
        <v>電子交付同意データ登録</v>
      </c>
      <c r="K13" s="372"/>
      <c r="L13" s="372"/>
      <c r="M13" s="372"/>
      <c r="N13" s="372"/>
      <c r="O13" s="372"/>
      <c r="P13" s="372"/>
      <c r="Q13" s="372"/>
      <c r="R13" s="372"/>
      <c r="S13" s="372"/>
      <c r="T13" s="372"/>
      <c r="U13" s="372"/>
      <c r="V13" s="372"/>
      <c r="W13" s="372"/>
      <c r="X13" s="372"/>
      <c r="Y13" s="372"/>
      <c r="Z13" s="372"/>
      <c r="AA13" s="372"/>
      <c r="AB13" s="372"/>
      <c r="AC13" s="372"/>
      <c r="AD13" s="372"/>
      <c r="AE13" s="372"/>
      <c r="AF13" s="372"/>
      <c r="AG13" s="372"/>
      <c r="AH13" s="372"/>
      <c r="AI13" s="372"/>
      <c r="AJ13" s="372"/>
      <c r="AK13" s="372"/>
      <c r="AL13" s="372"/>
      <c r="AM13" s="372"/>
      <c r="AN13" s="154"/>
      <c r="AO13" s="154"/>
      <c r="AP13" s="154"/>
      <c r="AQ13" s="154"/>
      <c r="AR13" s="154"/>
      <c r="AS13" s="154"/>
      <c r="AT13" s="154"/>
      <c r="AU13" s="154"/>
      <c r="AV13" s="154"/>
      <c r="AW13" s="154"/>
      <c r="AX13" s="154"/>
      <c r="AY13" s="155"/>
    </row>
    <row r="14" spans="1:51" ht="12" customHeight="1">
      <c r="A14" s="153"/>
      <c r="B14" s="154"/>
      <c r="C14" s="154"/>
      <c r="D14" s="154"/>
      <c r="E14" s="154"/>
      <c r="F14" s="154"/>
      <c r="G14" s="154"/>
      <c r="H14" s="154"/>
      <c r="I14" s="154"/>
      <c r="J14" s="372"/>
      <c r="K14" s="372"/>
      <c r="L14" s="372"/>
      <c r="M14" s="372"/>
      <c r="N14" s="372"/>
      <c r="O14" s="372"/>
      <c r="P14" s="372"/>
      <c r="Q14" s="372"/>
      <c r="R14" s="372"/>
      <c r="S14" s="372"/>
      <c r="T14" s="372"/>
      <c r="U14" s="372"/>
      <c r="V14" s="372"/>
      <c r="W14" s="372"/>
      <c r="X14" s="372"/>
      <c r="Y14" s="372"/>
      <c r="Z14" s="372"/>
      <c r="AA14" s="372"/>
      <c r="AB14" s="372"/>
      <c r="AC14" s="372"/>
      <c r="AD14" s="372"/>
      <c r="AE14" s="372"/>
      <c r="AF14" s="372"/>
      <c r="AG14" s="372"/>
      <c r="AH14" s="372"/>
      <c r="AI14" s="372"/>
      <c r="AJ14" s="372"/>
      <c r="AK14" s="372"/>
      <c r="AL14" s="372"/>
      <c r="AM14" s="372"/>
      <c r="AN14" s="154"/>
      <c r="AO14" s="154"/>
      <c r="AP14" s="154"/>
      <c r="AQ14" s="154"/>
      <c r="AR14" s="154"/>
      <c r="AS14" s="154"/>
      <c r="AT14" s="154"/>
      <c r="AU14" s="154"/>
      <c r="AV14" s="154"/>
      <c r="AW14" s="154"/>
      <c r="AX14" s="154"/>
      <c r="AY14" s="155"/>
    </row>
    <row r="15" spans="1:51" ht="12" customHeight="1">
      <c r="A15" s="153"/>
      <c r="B15" s="154"/>
      <c r="C15" s="154"/>
      <c r="D15" s="154"/>
      <c r="E15" s="154"/>
      <c r="F15" s="154"/>
      <c r="G15" s="154"/>
      <c r="H15" s="154"/>
      <c r="I15" s="154"/>
      <c r="J15" s="372"/>
      <c r="K15" s="372"/>
      <c r="L15" s="372"/>
      <c r="M15" s="372"/>
      <c r="N15" s="372"/>
      <c r="O15" s="372"/>
      <c r="P15" s="372"/>
      <c r="Q15" s="372"/>
      <c r="R15" s="372"/>
      <c r="S15" s="372"/>
      <c r="T15" s="372"/>
      <c r="U15" s="372"/>
      <c r="V15" s="372"/>
      <c r="W15" s="372"/>
      <c r="X15" s="372"/>
      <c r="Y15" s="372"/>
      <c r="Z15" s="372"/>
      <c r="AA15" s="372"/>
      <c r="AB15" s="372"/>
      <c r="AC15" s="372"/>
      <c r="AD15" s="372"/>
      <c r="AE15" s="372"/>
      <c r="AF15" s="372"/>
      <c r="AG15" s="372"/>
      <c r="AH15" s="372"/>
      <c r="AI15" s="372"/>
      <c r="AJ15" s="372"/>
      <c r="AK15" s="372"/>
      <c r="AL15" s="372"/>
      <c r="AM15" s="372"/>
      <c r="AN15" s="154"/>
      <c r="AO15" s="154"/>
      <c r="AP15" s="154"/>
      <c r="AQ15" s="154"/>
      <c r="AR15" s="154"/>
      <c r="AS15" s="154"/>
      <c r="AT15" s="154"/>
      <c r="AU15" s="154"/>
      <c r="AV15" s="154"/>
      <c r="AW15" s="154"/>
      <c r="AX15" s="154"/>
      <c r="AY15" s="155"/>
    </row>
    <row r="16" spans="1:51" ht="12" customHeight="1">
      <c r="A16" s="153"/>
      <c r="B16" s="154"/>
      <c r="C16" s="154"/>
      <c r="D16" s="154"/>
      <c r="E16" s="154"/>
      <c r="F16" s="154"/>
      <c r="G16" s="154"/>
      <c r="H16" s="154"/>
      <c r="I16" s="154"/>
      <c r="J16" s="372"/>
      <c r="K16" s="372"/>
      <c r="L16" s="372"/>
      <c r="M16" s="372"/>
      <c r="N16" s="372"/>
      <c r="O16" s="372"/>
      <c r="P16" s="372"/>
      <c r="Q16" s="372"/>
      <c r="R16" s="372"/>
      <c r="S16" s="372"/>
      <c r="T16" s="372"/>
      <c r="U16" s="372"/>
      <c r="V16" s="372"/>
      <c r="W16" s="372"/>
      <c r="X16" s="372"/>
      <c r="Y16" s="372"/>
      <c r="Z16" s="372"/>
      <c r="AA16" s="372"/>
      <c r="AB16" s="372"/>
      <c r="AC16" s="372"/>
      <c r="AD16" s="372"/>
      <c r="AE16" s="372"/>
      <c r="AF16" s="372"/>
      <c r="AG16" s="372"/>
      <c r="AH16" s="372"/>
      <c r="AI16" s="372"/>
      <c r="AJ16" s="372"/>
      <c r="AK16" s="372"/>
      <c r="AL16" s="372"/>
      <c r="AM16" s="372"/>
      <c r="AN16" s="154"/>
      <c r="AO16" s="154"/>
      <c r="AP16" s="154"/>
      <c r="AQ16" s="154"/>
      <c r="AR16" s="154"/>
      <c r="AS16" s="154"/>
      <c r="AT16" s="154"/>
      <c r="AU16" s="154"/>
      <c r="AV16" s="154"/>
      <c r="AW16" s="154"/>
      <c r="AX16" s="154"/>
      <c r="AY16" s="155"/>
    </row>
    <row r="17" spans="1:51" ht="12" customHeight="1">
      <c r="A17" s="153"/>
      <c r="B17" s="154"/>
      <c r="C17" s="154"/>
      <c r="D17" s="154"/>
      <c r="E17" s="154"/>
      <c r="F17" s="154"/>
      <c r="G17" s="154"/>
      <c r="H17" s="154"/>
      <c r="I17" s="154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372"/>
      <c r="V17" s="372"/>
      <c r="W17" s="372"/>
      <c r="X17" s="372"/>
      <c r="Y17" s="372"/>
      <c r="Z17" s="372"/>
      <c r="AA17" s="372"/>
      <c r="AB17" s="372"/>
      <c r="AC17" s="372"/>
      <c r="AD17" s="372"/>
      <c r="AE17" s="372"/>
      <c r="AF17" s="372"/>
      <c r="AG17" s="372"/>
      <c r="AH17" s="372"/>
      <c r="AI17" s="372"/>
      <c r="AJ17" s="372"/>
      <c r="AK17" s="372"/>
      <c r="AL17" s="372"/>
      <c r="AM17" s="372"/>
      <c r="AN17" s="154"/>
      <c r="AO17" s="154"/>
      <c r="AP17" s="154"/>
      <c r="AQ17" s="154"/>
      <c r="AR17" s="154"/>
      <c r="AS17" s="154"/>
      <c r="AT17" s="154"/>
      <c r="AU17" s="154"/>
      <c r="AV17" s="154"/>
      <c r="AW17" s="154"/>
      <c r="AX17" s="154"/>
      <c r="AY17" s="155"/>
    </row>
    <row r="18" spans="1:51" ht="12" customHeight="1">
      <c r="A18" s="153"/>
      <c r="B18" s="154"/>
      <c r="C18" s="154"/>
      <c r="D18" s="154"/>
      <c r="E18" s="154"/>
      <c r="F18" s="154"/>
      <c r="G18" s="154"/>
      <c r="H18" s="154"/>
      <c r="I18" s="154"/>
      <c r="J18" s="372"/>
      <c r="K18" s="372"/>
      <c r="L18" s="372"/>
      <c r="M18" s="372"/>
      <c r="N18" s="372"/>
      <c r="O18" s="372"/>
      <c r="P18" s="372"/>
      <c r="Q18" s="372"/>
      <c r="R18" s="372"/>
      <c r="S18" s="372"/>
      <c r="T18" s="372"/>
      <c r="U18" s="372"/>
      <c r="V18" s="372"/>
      <c r="W18" s="372"/>
      <c r="X18" s="372"/>
      <c r="Y18" s="372"/>
      <c r="Z18" s="372"/>
      <c r="AA18" s="372"/>
      <c r="AB18" s="372"/>
      <c r="AC18" s="372"/>
      <c r="AD18" s="372"/>
      <c r="AE18" s="372"/>
      <c r="AF18" s="372"/>
      <c r="AG18" s="372"/>
      <c r="AH18" s="372"/>
      <c r="AI18" s="372"/>
      <c r="AJ18" s="372"/>
      <c r="AK18" s="372"/>
      <c r="AL18" s="372"/>
      <c r="AM18" s="372"/>
      <c r="AN18" s="154"/>
      <c r="AO18" s="154"/>
      <c r="AP18" s="154"/>
      <c r="AQ18" s="154"/>
      <c r="AR18" s="154"/>
      <c r="AS18" s="154"/>
      <c r="AT18" s="154"/>
      <c r="AU18" s="154"/>
      <c r="AV18" s="154"/>
      <c r="AW18" s="154"/>
      <c r="AX18" s="154"/>
      <c r="AY18" s="155"/>
    </row>
    <row r="19" spans="1:51" ht="12" customHeight="1">
      <c r="A19" s="153"/>
      <c r="B19" s="154"/>
      <c r="C19" s="154"/>
      <c r="D19" s="154"/>
      <c r="E19" s="154"/>
      <c r="F19" s="154"/>
      <c r="G19" s="154"/>
      <c r="H19" s="154"/>
      <c r="I19" s="154"/>
      <c r="J19" s="372"/>
      <c r="K19" s="372"/>
      <c r="L19" s="372"/>
      <c r="M19" s="372"/>
      <c r="N19" s="372"/>
      <c r="O19" s="372"/>
      <c r="P19" s="372"/>
      <c r="Q19" s="372"/>
      <c r="R19" s="372"/>
      <c r="S19" s="372"/>
      <c r="T19" s="372"/>
      <c r="U19" s="372"/>
      <c r="V19" s="372"/>
      <c r="W19" s="372"/>
      <c r="X19" s="372"/>
      <c r="Y19" s="372"/>
      <c r="Z19" s="372"/>
      <c r="AA19" s="372"/>
      <c r="AB19" s="372"/>
      <c r="AC19" s="372"/>
      <c r="AD19" s="372"/>
      <c r="AE19" s="372"/>
      <c r="AF19" s="372"/>
      <c r="AG19" s="372"/>
      <c r="AH19" s="372"/>
      <c r="AI19" s="372"/>
      <c r="AJ19" s="372"/>
      <c r="AK19" s="372"/>
      <c r="AL19" s="372"/>
      <c r="AM19" s="372"/>
      <c r="AN19" s="154"/>
      <c r="AO19" s="154"/>
      <c r="AP19" s="154"/>
      <c r="AQ19" s="154"/>
      <c r="AR19" s="154"/>
      <c r="AS19" s="154"/>
      <c r="AT19" s="154"/>
      <c r="AU19" s="154"/>
      <c r="AV19" s="154"/>
      <c r="AW19" s="154"/>
      <c r="AX19" s="154"/>
      <c r="AY19" s="155"/>
    </row>
    <row r="20" spans="1:51" ht="12" customHeight="1">
      <c r="A20" s="153"/>
      <c r="B20" s="154"/>
      <c r="C20" s="154"/>
      <c r="D20" s="154"/>
      <c r="E20" s="154"/>
      <c r="F20" s="154"/>
      <c r="G20" s="154"/>
      <c r="H20" s="154"/>
      <c r="I20" s="154"/>
      <c r="J20" s="372"/>
      <c r="K20" s="372"/>
      <c r="L20" s="372"/>
      <c r="M20" s="372"/>
      <c r="N20" s="372"/>
      <c r="O20" s="372"/>
      <c r="P20" s="372"/>
      <c r="Q20" s="372"/>
      <c r="R20" s="372"/>
      <c r="S20" s="372"/>
      <c r="T20" s="372"/>
      <c r="U20" s="372"/>
      <c r="V20" s="372"/>
      <c r="W20" s="372"/>
      <c r="X20" s="372"/>
      <c r="Y20" s="372"/>
      <c r="Z20" s="372"/>
      <c r="AA20" s="372"/>
      <c r="AB20" s="372"/>
      <c r="AC20" s="372"/>
      <c r="AD20" s="372"/>
      <c r="AE20" s="372"/>
      <c r="AF20" s="372"/>
      <c r="AG20" s="372"/>
      <c r="AH20" s="372"/>
      <c r="AI20" s="372"/>
      <c r="AJ20" s="372"/>
      <c r="AK20" s="372"/>
      <c r="AL20" s="372"/>
      <c r="AM20" s="372"/>
      <c r="AN20" s="154"/>
      <c r="AO20" s="154"/>
      <c r="AP20" s="154"/>
      <c r="AQ20" s="154"/>
      <c r="AR20" s="154"/>
      <c r="AS20" s="154"/>
      <c r="AT20" s="154"/>
      <c r="AU20" s="154"/>
      <c r="AV20" s="154"/>
      <c r="AW20" s="154"/>
      <c r="AX20" s="154"/>
      <c r="AY20" s="155"/>
    </row>
    <row r="21" spans="1:51" ht="12" customHeight="1">
      <c r="A21" s="153"/>
      <c r="B21" s="154"/>
      <c r="C21" s="154"/>
      <c r="D21" s="154"/>
      <c r="E21" s="154"/>
      <c r="F21" s="154"/>
      <c r="G21" s="154"/>
      <c r="H21" s="154"/>
      <c r="I21" s="154"/>
      <c r="J21" s="373"/>
      <c r="K21" s="373"/>
      <c r="L21" s="373"/>
      <c r="M21" s="373"/>
      <c r="N21" s="373"/>
      <c r="O21" s="373"/>
      <c r="P21" s="373"/>
      <c r="Q21" s="373"/>
      <c r="R21" s="373"/>
      <c r="S21" s="373"/>
      <c r="T21" s="373"/>
      <c r="U21" s="373"/>
      <c r="V21" s="373"/>
      <c r="W21" s="373"/>
      <c r="X21" s="373"/>
      <c r="Y21" s="373"/>
      <c r="Z21" s="373"/>
      <c r="AA21" s="373"/>
      <c r="AB21" s="373"/>
      <c r="AC21" s="373"/>
      <c r="AD21" s="373"/>
      <c r="AE21" s="373"/>
      <c r="AF21" s="373"/>
      <c r="AG21" s="373"/>
      <c r="AH21" s="373"/>
      <c r="AI21" s="373"/>
      <c r="AJ21" s="373"/>
      <c r="AK21" s="373"/>
      <c r="AL21" s="373"/>
      <c r="AM21" s="373"/>
      <c r="AN21" s="154"/>
      <c r="AO21" s="154"/>
      <c r="AP21" s="154"/>
      <c r="AQ21" s="154"/>
      <c r="AR21" s="154"/>
      <c r="AS21" s="154"/>
      <c r="AT21" s="154"/>
      <c r="AU21" s="154"/>
      <c r="AV21" s="154"/>
      <c r="AW21" s="154"/>
      <c r="AX21" s="154"/>
      <c r="AY21" s="155"/>
    </row>
    <row r="22" spans="1:51" ht="12" customHeight="1">
      <c r="A22" s="153"/>
      <c r="B22" s="154"/>
      <c r="C22" s="154"/>
      <c r="D22" s="154"/>
      <c r="E22" s="154"/>
      <c r="F22" s="154"/>
      <c r="G22" s="154"/>
      <c r="H22" s="154"/>
      <c r="I22" s="154"/>
      <c r="J22" s="373"/>
      <c r="K22" s="373"/>
      <c r="L22" s="373"/>
      <c r="M22" s="373"/>
      <c r="N22" s="373"/>
      <c r="O22" s="373"/>
      <c r="P22" s="373"/>
      <c r="Q22" s="373"/>
      <c r="R22" s="373"/>
      <c r="S22" s="373"/>
      <c r="T22" s="373"/>
      <c r="U22" s="373"/>
      <c r="V22" s="373"/>
      <c r="W22" s="373"/>
      <c r="X22" s="373"/>
      <c r="Y22" s="373"/>
      <c r="Z22" s="373"/>
      <c r="AA22" s="373"/>
      <c r="AB22" s="373"/>
      <c r="AC22" s="373"/>
      <c r="AD22" s="373"/>
      <c r="AE22" s="373"/>
      <c r="AF22" s="373"/>
      <c r="AG22" s="373"/>
      <c r="AH22" s="373"/>
      <c r="AI22" s="373"/>
      <c r="AJ22" s="373"/>
      <c r="AK22" s="373"/>
      <c r="AL22" s="373"/>
      <c r="AM22" s="373"/>
      <c r="AN22" s="154"/>
      <c r="AO22" s="154"/>
      <c r="AP22" s="154"/>
      <c r="AQ22" s="154"/>
      <c r="AR22" s="154"/>
      <c r="AS22" s="154"/>
      <c r="AT22" s="154"/>
      <c r="AU22" s="154"/>
      <c r="AV22" s="154"/>
      <c r="AW22" s="154"/>
      <c r="AX22" s="154"/>
      <c r="AY22" s="155"/>
    </row>
    <row r="23" spans="1:51" ht="12" customHeight="1">
      <c r="A23" s="153"/>
      <c r="B23" s="154"/>
      <c r="C23" s="154"/>
      <c r="D23" s="154"/>
      <c r="E23" s="154"/>
      <c r="F23" s="154"/>
      <c r="G23" s="154"/>
      <c r="H23" s="154"/>
      <c r="I23" s="154"/>
      <c r="J23" s="373"/>
      <c r="K23" s="373"/>
      <c r="L23" s="373"/>
      <c r="M23" s="373"/>
      <c r="N23" s="373"/>
      <c r="O23" s="373"/>
      <c r="P23" s="373"/>
      <c r="Q23" s="373"/>
      <c r="R23" s="373"/>
      <c r="S23" s="373"/>
      <c r="T23" s="373"/>
      <c r="U23" s="373"/>
      <c r="V23" s="373"/>
      <c r="W23" s="373"/>
      <c r="X23" s="373"/>
      <c r="Y23" s="373"/>
      <c r="Z23" s="373"/>
      <c r="AA23" s="373"/>
      <c r="AB23" s="373"/>
      <c r="AC23" s="373"/>
      <c r="AD23" s="373"/>
      <c r="AE23" s="373"/>
      <c r="AF23" s="373"/>
      <c r="AG23" s="373"/>
      <c r="AH23" s="373"/>
      <c r="AI23" s="373"/>
      <c r="AJ23" s="373"/>
      <c r="AK23" s="373"/>
      <c r="AL23" s="373"/>
      <c r="AM23" s="373"/>
      <c r="AN23" s="154"/>
      <c r="AO23" s="154"/>
      <c r="AP23" s="154"/>
      <c r="AQ23" s="154"/>
      <c r="AR23" s="154"/>
      <c r="AS23" s="154"/>
      <c r="AT23" s="154"/>
      <c r="AU23" s="154"/>
      <c r="AV23" s="154"/>
      <c r="AW23" s="154"/>
      <c r="AX23" s="154"/>
      <c r="AY23" s="155"/>
    </row>
    <row r="24" spans="1:51" ht="12" customHeight="1">
      <c r="A24" s="153"/>
      <c r="B24" s="154"/>
      <c r="C24" s="154"/>
      <c r="D24" s="154"/>
      <c r="E24" s="154"/>
      <c r="F24" s="154"/>
      <c r="G24" s="154"/>
      <c r="H24" s="154"/>
      <c r="I24" s="154"/>
      <c r="J24" s="373"/>
      <c r="K24" s="373"/>
      <c r="L24" s="373"/>
      <c r="M24" s="373"/>
      <c r="N24" s="373"/>
      <c r="O24" s="373"/>
      <c r="P24" s="373"/>
      <c r="Q24" s="373"/>
      <c r="R24" s="373"/>
      <c r="S24" s="373"/>
      <c r="T24" s="373"/>
      <c r="U24" s="373"/>
      <c r="V24" s="373"/>
      <c r="W24" s="373"/>
      <c r="X24" s="373"/>
      <c r="Y24" s="373"/>
      <c r="Z24" s="373"/>
      <c r="AA24" s="373"/>
      <c r="AB24" s="373"/>
      <c r="AC24" s="373"/>
      <c r="AD24" s="373"/>
      <c r="AE24" s="373"/>
      <c r="AF24" s="373"/>
      <c r="AG24" s="373"/>
      <c r="AH24" s="373"/>
      <c r="AI24" s="373"/>
      <c r="AJ24" s="373"/>
      <c r="AK24" s="373"/>
      <c r="AL24" s="373"/>
      <c r="AM24" s="373"/>
      <c r="AN24" s="154"/>
      <c r="AO24" s="154"/>
      <c r="AP24" s="154"/>
      <c r="AQ24" s="154"/>
      <c r="AR24" s="154"/>
      <c r="AS24" s="154"/>
      <c r="AT24" s="154"/>
      <c r="AU24" s="154"/>
      <c r="AV24" s="154"/>
      <c r="AW24" s="154"/>
      <c r="AX24" s="154"/>
      <c r="AY24" s="155"/>
    </row>
    <row r="25" spans="1:51" ht="12" customHeight="1">
      <c r="A25" s="153"/>
      <c r="B25" s="154"/>
      <c r="C25" s="154"/>
      <c r="D25" s="154"/>
      <c r="E25" s="154"/>
      <c r="F25" s="154"/>
      <c r="G25" s="154"/>
      <c r="H25" s="154"/>
      <c r="I25" s="154"/>
      <c r="J25" s="374">
        <f>J53</f>
        <v>46155</v>
      </c>
      <c r="K25" s="374"/>
      <c r="L25" s="374"/>
      <c r="M25" s="374"/>
      <c r="N25" s="374"/>
      <c r="O25" s="374"/>
      <c r="P25" s="374"/>
      <c r="Q25" s="374"/>
      <c r="R25" s="374"/>
      <c r="S25" s="374"/>
      <c r="T25" s="374"/>
      <c r="U25" s="374"/>
      <c r="V25" s="374"/>
      <c r="W25" s="374"/>
      <c r="X25" s="374"/>
      <c r="Y25" s="374"/>
      <c r="Z25" s="374"/>
      <c r="AA25" s="374"/>
      <c r="AB25" s="374"/>
      <c r="AC25" s="374"/>
      <c r="AD25" s="374"/>
      <c r="AE25" s="374"/>
      <c r="AF25" s="374"/>
      <c r="AG25" s="374"/>
      <c r="AH25" s="374"/>
      <c r="AI25" s="374"/>
      <c r="AJ25" s="374"/>
      <c r="AK25" s="374"/>
      <c r="AL25" s="374"/>
      <c r="AM25" s="374"/>
      <c r="AN25" s="154"/>
      <c r="AO25" s="154"/>
      <c r="AP25" s="154"/>
      <c r="AQ25" s="154"/>
      <c r="AR25" s="154"/>
      <c r="AS25" s="154"/>
      <c r="AT25" s="154"/>
      <c r="AU25" s="154"/>
      <c r="AV25" s="154"/>
      <c r="AW25" s="154"/>
      <c r="AX25" s="154"/>
      <c r="AY25" s="155"/>
    </row>
    <row r="26" spans="1:51" ht="12" customHeight="1">
      <c r="A26" s="153"/>
      <c r="B26" s="154"/>
      <c r="C26" s="154"/>
      <c r="D26" s="154"/>
      <c r="E26" s="154"/>
      <c r="F26" s="154"/>
      <c r="G26" s="154"/>
      <c r="H26" s="154"/>
      <c r="I26" s="154"/>
      <c r="J26" s="374"/>
      <c r="K26" s="374"/>
      <c r="L26" s="374"/>
      <c r="M26" s="374"/>
      <c r="N26" s="374"/>
      <c r="O26" s="374"/>
      <c r="P26" s="374"/>
      <c r="Q26" s="374"/>
      <c r="R26" s="374"/>
      <c r="S26" s="374"/>
      <c r="T26" s="374"/>
      <c r="U26" s="374"/>
      <c r="V26" s="374"/>
      <c r="W26" s="374"/>
      <c r="X26" s="374"/>
      <c r="Y26" s="374"/>
      <c r="Z26" s="374"/>
      <c r="AA26" s="374"/>
      <c r="AB26" s="374"/>
      <c r="AC26" s="374"/>
      <c r="AD26" s="374"/>
      <c r="AE26" s="374"/>
      <c r="AF26" s="374"/>
      <c r="AG26" s="374"/>
      <c r="AH26" s="374"/>
      <c r="AI26" s="374"/>
      <c r="AJ26" s="374"/>
      <c r="AK26" s="374"/>
      <c r="AL26" s="374"/>
      <c r="AM26" s="374"/>
      <c r="AN26" s="154"/>
      <c r="AO26" s="154"/>
      <c r="AP26" s="154"/>
      <c r="AQ26" s="154"/>
      <c r="AR26" s="154"/>
      <c r="AS26" s="154"/>
      <c r="AT26" s="154"/>
      <c r="AU26" s="154"/>
      <c r="AV26" s="154"/>
      <c r="AW26" s="154"/>
      <c r="AX26" s="154"/>
      <c r="AY26" s="155"/>
    </row>
    <row r="27" spans="1:51" ht="12" customHeight="1">
      <c r="A27" s="153"/>
      <c r="B27" s="154"/>
      <c r="C27" s="154"/>
      <c r="D27" s="154"/>
      <c r="E27" s="154"/>
      <c r="F27" s="154"/>
      <c r="G27" s="154"/>
      <c r="H27" s="154"/>
      <c r="I27" s="154"/>
      <c r="J27" s="374"/>
      <c r="K27" s="374"/>
      <c r="L27" s="374"/>
      <c r="M27" s="374"/>
      <c r="N27" s="374"/>
      <c r="O27" s="374"/>
      <c r="P27" s="374"/>
      <c r="Q27" s="374"/>
      <c r="R27" s="374"/>
      <c r="S27" s="374"/>
      <c r="T27" s="374"/>
      <c r="U27" s="374"/>
      <c r="V27" s="374"/>
      <c r="W27" s="374"/>
      <c r="X27" s="374"/>
      <c r="Y27" s="374"/>
      <c r="Z27" s="374"/>
      <c r="AA27" s="374"/>
      <c r="AB27" s="374"/>
      <c r="AC27" s="374"/>
      <c r="AD27" s="374"/>
      <c r="AE27" s="374"/>
      <c r="AF27" s="374"/>
      <c r="AG27" s="374"/>
      <c r="AH27" s="374"/>
      <c r="AI27" s="374"/>
      <c r="AJ27" s="374"/>
      <c r="AK27" s="374"/>
      <c r="AL27" s="374"/>
      <c r="AM27" s="374"/>
      <c r="AN27" s="154"/>
      <c r="AO27" s="154"/>
      <c r="AP27" s="154"/>
      <c r="AQ27" s="154"/>
      <c r="AR27" s="154"/>
      <c r="AS27" s="154"/>
      <c r="AT27" s="154"/>
      <c r="AU27" s="154"/>
      <c r="AV27" s="154"/>
      <c r="AW27" s="154"/>
      <c r="AX27" s="154"/>
      <c r="AY27" s="155"/>
    </row>
    <row r="28" spans="1:51" ht="12" customHeight="1">
      <c r="A28" s="153"/>
      <c r="B28" s="154"/>
      <c r="C28" s="154"/>
      <c r="D28" s="154"/>
      <c r="E28" s="154"/>
      <c r="F28" s="154"/>
      <c r="G28" s="154"/>
      <c r="H28" s="154"/>
      <c r="I28" s="154"/>
      <c r="J28" s="374"/>
      <c r="K28" s="374"/>
      <c r="L28" s="374"/>
      <c r="M28" s="374"/>
      <c r="N28" s="374"/>
      <c r="O28" s="374"/>
      <c r="P28" s="374"/>
      <c r="Q28" s="374"/>
      <c r="R28" s="374"/>
      <c r="S28" s="374"/>
      <c r="T28" s="374"/>
      <c r="U28" s="374"/>
      <c r="V28" s="374"/>
      <c r="W28" s="374"/>
      <c r="X28" s="374"/>
      <c r="Y28" s="374"/>
      <c r="Z28" s="374"/>
      <c r="AA28" s="374"/>
      <c r="AB28" s="374"/>
      <c r="AC28" s="374"/>
      <c r="AD28" s="374"/>
      <c r="AE28" s="374"/>
      <c r="AF28" s="374"/>
      <c r="AG28" s="374"/>
      <c r="AH28" s="374"/>
      <c r="AI28" s="374"/>
      <c r="AJ28" s="374"/>
      <c r="AK28" s="374"/>
      <c r="AL28" s="374"/>
      <c r="AM28" s="374"/>
      <c r="AN28" s="154"/>
      <c r="AO28" s="154"/>
      <c r="AP28" s="154"/>
      <c r="AQ28" s="154"/>
      <c r="AR28" s="154"/>
      <c r="AS28" s="154"/>
      <c r="AT28" s="154"/>
      <c r="AU28" s="154"/>
      <c r="AV28" s="154"/>
      <c r="AW28" s="154"/>
      <c r="AX28" s="154"/>
      <c r="AY28" s="155"/>
    </row>
    <row r="29" spans="1:51" ht="12" customHeight="1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  <c r="AV29" s="154"/>
      <c r="AW29" s="154"/>
      <c r="AX29" s="154"/>
      <c r="AY29" s="155"/>
    </row>
    <row r="30" spans="1:51" ht="12" customHeight="1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  <c r="AF30" s="154"/>
      <c r="AG30" s="154"/>
      <c r="AH30" s="154"/>
      <c r="AI30" s="154"/>
      <c r="AJ30" s="154"/>
      <c r="AK30" s="154"/>
      <c r="AL30" s="154"/>
      <c r="AM30" s="154"/>
      <c r="AN30" s="154"/>
      <c r="AO30" s="154"/>
      <c r="AP30" s="154"/>
      <c r="AQ30" s="154"/>
      <c r="AR30" s="154"/>
      <c r="AS30" s="154"/>
      <c r="AT30" s="154"/>
      <c r="AU30" s="154"/>
      <c r="AV30" s="154"/>
      <c r="AW30" s="154"/>
      <c r="AX30" s="154"/>
      <c r="AY30" s="155"/>
    </row>
    <row r="31" spans="1:51" ht="12" customHeight="1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/>
      <c r="AG31" s="154"/>
      <c r="AH31" s="154"/>
      <c r="AI31" s="154"/>
      <c r="AJ31" s="154"/>
      <c r="AK31" s="154"/>
      <c r="AL31" s="154"/>
      <c r="AM31" s="154"/>
      <c r="AN31" s="154"/>
      <c r="AO31" s="154"/>
      <c r="AP31" s="154"/>
      <c r="AQ31" s="154"/>
      <c r="AR31" s="154"/>
      <c r="AS31" s="154"/>
      <c r="AT31" s="154"/>
      <c r="AU31" s="154"/>
      <c r="AV31" s="154"/>
      <c r="AW31" s="154"/>
      <c r="AX31" s="154"/>
      <c r="AY31" s="155"/>
    </row>
    <row r="32" spans="1:51" ht="12" customHeight="1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  <c r="AK32" s="154"/>
      <c r="AL32" s="154"/>
      <c r="AM32" s="154"/>
      <c r="AN32" s="154"/>
      <c r="AO32" s="154"/>
      <c r="AP32" s="154"/>
      <c r="AQ32" s="154"/>
      <c r="AR32" s="154"/>
      <c r="AS32" s="154"/>
      <c r="AT32" s="154"/>
      <c r="AU32" s="154"/>
      <c r="AV32" s="154"/>
      <c r="AW32" s="154"/>
      <c r="AX32" s="154"/>
      <c r="AY32" s="155"/>
    </row>
    <row r="33" spans="1:51" ht="12" customHeight="1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4"/>
      <c r="AG33" s="154"/>
      <c r="AH33" s="154"/>
      <c r="AI33" s="154"/>
      <c r="AJ33" s="154"/>
      <c r="AK33" s="154"/>
      <c r="AL33" s="154"/>
      <c r="AM33" s="154"/>
      <c r="AN33" s="154"/>
      <c r="AO33" s="154"/>
      <c r="AP33" s="154"/>
      <c r="AQ33" s="154"/>
      <c r="AR33" s="154"/>
      <c r="AS33" s="154"/>
      <c r="AT33" s="154"/>
      <c r="AU33" s="154"/>
      <c r="AV33" s="154"/>
      <c r="AW33" s="154"/>
      <c r="AX33" s="154"/>
      <c r="AY33" s="155"/>
    </row>
    <row r="34" spans="1:51" ht="12" customHeight="1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4"/>
      <c r="AH34" s="154"/>
      <c r="AI34" s="154"/>
      <c r="AJ34" s="154"/>
      <c r="AK34" s="154"/>
      <c r="AL34" s="154"/>
      <c r="AM34" s="154"/>
      <c r="AN34" s="154"/>
      <c r="AO34" s="154"/>
      <c r="AP34" s="154"/>
      <c r="AQ34" s="154"/>
      <c r="AR34" s="154"/>
      <c r="AS34" s="154"/>
      <c r="AT34" s="154"/>
      <c r="AU34" s="154"/>
      <c r="AV34" s="154"/>
      <c r="AW34" s="154"/>
      <c r="AX34" s="154"/>
      <c r="AY34" s="155"/>
    </row>
    <row r="35" spans="1:51" ht="12" customHeight="1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4"/>
      <c r="AG35" s="154"/>
      <c r="AH35" s="154"/>
      <c r="AI35" s="154"/>
      <c r="AJ35" s="154"/>
      <c r="AK35" s="154"/>
      <c r="AL35" s="154"/>
      <c r="AM35" s="154"/>
      <c r="AN35" s="154"/>
      <c r="AO35" s="154"/>
      <c r="AP35" s="154"/>
      <c r="AQ35" s="154"/>
      <c r="AR35" s="154"/>
      <c r="AS35" s="154"/>
      <c r="AT35" s="154"/>
      <c r="AU35" s="154"/>
      <c r="AV35" s="154"/>
      <c r="AW35" s="154"/>
      <c r="AX35" s="154"/>
      <c r="AY35" s="155"/>
    </row>
    <row r="36" spans="1:51" ht="12" customHeight="1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4"/>
      <c r="AJ36" s="154"/>
      <c r="AK36" s="154"/>
      <c r="AL36" s="154"/>
      <c r="AM36" s="154"/>
      <c r="AN36" s="154"/>
      <c r="AO36" s="154"/>
      <c r="AP36" s="154"/>
      <c r="AQ36" s="154"/>
      <c r="AR36" s="154"/>
      <c r="AS36" s="154"/>
      <c r="AT36" s="154"/>
      <c r="AU36" s="154"/>
      <c r="AV36" s="154"/>
      <c r="AW36" s="154"/>
      <c r="AX36" s="154"/>
      <c r="AY36" s="155"/>
    </row>
    <row r="37" spans="1:51" ht="12" customHeight="1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  <c r="AC37" s="154"/>
      <c r="AD37" s="154"/>
      <c r="AE37" s="154"/>
      <c r="AF37" s="154"/>
      <c r="AG37" s="154"/>
      <c r="AH37" s="154"/>
      <c r="AI37" s="154"/>
      <c r="AJ37" s="154"/>
      <c r="AK37" s="154"/>
      <c r="AL37" s="154"/>
      <c r="AM37" s="154"/>
      <c r="AN37" s="154"/>
      <c r="AO37" s="154"/>
      <c r="AP37" s="154"/>
      <c r="AQ37" s="154"/>
      <c r="AR37" s="154"/>
      <c r="AS37" s="154"/>
      <c r="AT37" s="154"/>
      <c r="AU37" s="154"/>
      <c r="AV37" s="154"/>
      <c r="AW37" s="154"/>
      <c r="AX37" s="154"/>
      <c r="AY37" s="155"/>
    </row>
    <row r="38" spans="1:51" ht="12" customHeight="1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154"/>
      <c r="AJ38" s="154"/>
      <c r="AK38" s="154"/>
      <c r="AL38" s="154"/>
      <c r="AM38" s="154"/>
      <c r="AN38" s="154"/>
      <c r="AO38" s="154"/>
      <c r="AP38" s="154"/>
      <c r="AQ38" s="154"/>
      <c r="AR38" s="154"/>
      <c r="AS38" s="154"/>
      <c r="AT38" s="154"/>
      <c r="AU38" s="154"/>
      <c r="AV38" s="154"/>
      <c r="AW38" s="154"/>
      <c r="AX38" s="154"/>
      <c r="AY38" s="155"/>
    </row>
    <row r="39" spans="1:51" ht="12" customHeight="1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  <c r="AC39" s="154"/>
      <c r="AD39" s="154"/>
      <c r="AE39" s="154"/>
      <c r="AF39" s="154"/>
      <c r="AG39" s="154"/>
      <c r="AH39" s="154"/>
      <c r="AI39" s="154"/>
      <c r="AJ39" s="154"/>
      <c r="AK39" s="154"/>
      <c r="AL39" s="154"/>
      <c r="AM39" s="154"/>
      <c r="AN39" s="154"/>
      <c r="AO39" s="154"/>
      <c r="AP39" s="154"/>
      <c r="AQ39" s="154"/>
      <c r="AR39" s="154"/>
      <c r="AS39" s="154"/>
      <c r="AT39" s="154"/>
      <c r="AU39" s="154"/>
      <c r="AV39" s="154"/>
      <c r="AW39" s="154"/>
      <c r="AX39" s="154"/>
      <c r="AY39" s="155"/>
    </row>
    <row r="40" spans="1:51" ht="12" customHeight="1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  <c r="AA40" s="154"/>
      <c r="AB40" s="154"/>
      <c r="AC40" s="154"/>
      <c r="AD40" s="154"/>
      <c r="AE40" s="154"/>
      <c r="AF40" s="154"/>
      <c r="AG40" s="154"/>
      <c r="AH40" s="154"/>
      <c r="AI40" s="154"/>
      <c r="AJ40" s="154"/>
      <c r="AK40" s="154"/>
      <c r="AL40" s="154"/>
      <c r="AM40" s="154"/>
      <c r="AN40" s="154"/>
      <c r="AO40" s="154"/>
      <c r="AP40" s="154"/>
      <c r="AQ40" s="154"/>
      <c r="AR40" s="154"/>
      <c r="AS40" s="154"/>
      <c r="AT40" s="154"/>
      <c r="AU40" s="154"/>
      <c r="AV40" s="154"/>
      <c r="AW40" s="154"/>
      <c r="AX40" s="154"/>
      <c r="AY40" s="155"/>
    </row>
    <row r="41" spans="1:51" ht="12" customHeight="1">
      <c r="A41" s="153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  <c r="AC41" s="154"/>
      <c r="AD41" s="154"/>
      <c r="AE41" s="154"/>
      <c r="AF41" s="154"/>
      <c r="AG41" s="154"/>
      <c r="AH41" s="154"/>
      <c r="AI41" s="154"/>
      <c r="AJ41" s="154"/>
      <c r="AK41" s="154"/>
      <c r="AL41" s="154"/>
      <c r="AM41" s="154"/>
      <c r="AN41" s="154"/>
      <c r="AO41" s="154"/>
      <c r="AP41" s="154"/>
      <c r="AQ41" s="154"/>
      <c r="AR41" s="154"/>
      <c r="AS41" s="154"/>
      <c r="AT41" s="154"/>
      <c r="AU41" s="154"/>
      <c r="AV41" s="154"/>
      <c r="AW41" s="154"/>
      <c r="AX41" s="154"/>
      <c r="AY41" s="155"/>
    </row>
    <row r="42" spans="1:51" ht="12" customHeight="1">
      <c r="A42" s="153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4"/>
      <c r="AJ42" s="154"/>
      <c r="AK42" s="154"/>
      <c r="AL42" s="154"/>
      <c r="AM42" s="154"/>
      <c r="AN42" s="154"/>
      <c r="AO42" s="154"/>
      <c r="AP42" s="154"/>
      <c r="AQ42" s="154"/>
      <c r="AR42" s="154"/>
      <c r="AS42" s="154"/>
      <c r="AT42" s="154"/>
      <c r="AU42" s="154"/>
      <c r="AV42" s="154"/>
      <c r="AW42" s="154"/>
      <c r="AX42" s="154"/>
      <c r="AY42" s="155"/>
    </row>
    <row r="43" spans="1:51" ht="12" customHeight="1">
      <c r="A43" s="153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154"/>
      <c r="AJ43" s="154"/>
      <c r="AK43" s="154"/>
      <c r="AL43" s="154"/>
      <c r="AM43" s="154"/>
      <c r="AN43" s="154"/>
      <c r="AO43" s="154"/>
      <c r="AP43" s="154"/>
      <c r="AQ43" s="154"/>
      <c r="AR43" s="154"/>
      <c r="AS43" s="154"/>
      <c r="AT43" s="154"/>
      <c r="AU43" s="154"/>
      <c r="AV43" s="154"/>
      <c r="AW43" s="154"/>
      <c r="AX43" s="154"/>
      <c r="AY43" s="155"/>
    </row>
    <row r="44" spans="1:51" ht="12" customHeight="1">
      <c r="A44" s="153"/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54"/>
      <c r="AD44" s="154"/>
      <c r="AE44" s="154"/>
      <c r="AF44" s="154"/>
      <c r="AG44" s="154"/>
      <c r="AH44" s="154"/>
      <c r="AI44" s="154"/>
      <c r="AJ44" s="154"/>
      <c r="AK44" s="154"/>
      <c r="AL44" s="154"/>
      <c r="AM44" s="154"/>
      <c r="AN44" s="154"/>
      <c r="AO44" s="154"/>
      <c r="AP44" s="154"/>
      <c r="AQ44" s="154"/>
      <c r="AR44" s="154"/>
      <c r="AS44" s="154"/>
      <c r="AT44" s="154"/>
      <c r="AU44" s="154"/>
      <c r="AV44" s="154"/>
      <c r="AW44" s="154"/>
      <c r="AX44" s="154"/>
      <c r="AY44" s="155"/>
    </row>
    <row r="45" spans="1:51" ht="12" customHeight="1">
      <c r="A45" s="156"/>
      <c r="B45" s="157"/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157"/>
      <c r="AI45" s="157"/>
      <c r="AJ45" s="157"/>
      <c r="AK45" s="157"/>
      <c r="AL45" s="157"/>
      <c r="AM45" s="157"/>
      <c r="AN45" s="157"/>
      <c r="AO45" s="157"/>
      <c r="AP45" s="157"/>
      <c r="AQ45" s="157"/>
      <c r="AR45" s="157"/>
      <c r="AS45" s="157"/>
      <c r="AT45" s="157"/>
      <c r="AU45" s="157"/>
      <c r="AV45" s="157"/>
      <c r="AW45" s="157" t="s">
        <v>0</v>
      </c>
      <c r="AX45" s="157"/>
      <c r="AY45" s="158"/>
    </row>
    <row r="46" spans="1:51" ht="12" customHeight="1">
      <c r="A46" s="154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54"/>
      <c r="AE46" s="154"/>
      <c r="AF46" s="154"/>
      <c r="AG46" s="154"/>
      <c r="AH46" s="154"/>
      <c r="AI46" s="154"/>
      <c r="AJ46" s="154"/>
      <c r="AK46" s="154"/>
      <c r="AL46" s="154"/>
      <c r="AM46" s="154"/>
      <c r="AN46" s="154"/>
      <c r="AO46" s="154"/>
      <c r="AP46" s="154"/>
      <c r="AQ46" s="154"/>
      <c r="AR46" s="154"/>
      <c r="AS46" s="154"/>
      <c r="AT46" s="154"/>
      <c r="AU46" s="154"/>
      <c r="AV46" s="154"/>
      <c r="AW46" s="154"/>
      <c r="AX46" s="154"/>
      <c r="AY46" s="154"/>
    </row>
    <row r="47" spans="1:51" ht="12" customHeight="1">
      <c r="A47" s="154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54"/>
      <c r="AE47" s="154"/>
      <c r="AF47" s="154"/>
      <c r="AG47" s="154"/>
      <c r="AH47" s="154"/>
      <c r="AI47" s="154"/>
      <c r="AJ47" s="154"/>
      <c r="AK47" s="154"/>
      <c r="AL47" s="154"/>
      <c r="AM47" s="154"/>
      <c r="AN47" s="154"/>
      <c r="AO47" s="154"/>
      <c r="AP47" s="154"/>
      <c r="AQ47" s="154"/>
      <c r="AR47" s="154"/>
      <c r="AS47" s="154"/>
      <c r="AT47" s="154"/>
      <c r="AU47" s="154"/>
      <c r="AV47" s="154"/>
      <c r="AW47" s="154"/>
      <c r="AX47" s="154"/>
      <c r="AY47" s="154"/>
    </row>
    <row r="48" spans="1:51" ht="12" customHeight="1">
      <c r="A48" s="154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  <c r="AE48" s="154"/>
      <c r="AF48" s="154"/>
      <c r="AG48" s="154"/>
      <c r="AH48" s="154"/>
      <c r="AI48" s="154"/>
      <c r="AJ48" s="154"/>
      <c r="AK48" s="154"/>
      <c r="AL48" s="154"/>
      <c r="AM48" s="154"/>
      <c r="AN48" s="154"/>
      <c r="AO48" s="154"/>
      <c r="AP48" s="154"/>
      <c r="AQ48" s="154"/>
      <c r="AR48" s="154"/>
      <c r="AS48" s="154"/>
      <c r="AT48" s="154"/>
      <c r="AU48" s="154"/>
      <c r="AV48" s="154"/>
      <c r="AW48" s="154"/>
      <c r="AX48" s="154"/>
      <c r="AY48" s="154"/>
    </row>
    <row r="49" spans="1:37" ht="12" customHeight="1">
      <c r="A49" s="154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54"/>
      <c r="AE49" s="154"/>
      <c r="AF49" s="154"/>
      <c r="AG49" s="154"/>
      <c r="AH49" s="154"/>
      <c r="AI49" s="154"/>
      <c r="AJ49" s="154"/>
      <c r="AK49" s="154"/>
    </row>
    <row r="50" spans="1:37" ht="12" customHeight="1">
      <c r="A50" s="154"/>
      <c r="B50" s="154"/>
      <c r="C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  <c r="AC50" s="154"/>
      <c r="AD50" s="154"/>
      <c r="AE50" s="154"/>
      <c r="AF50" s="154"/>
      <c r="AG50" s="154"/>
      <c r="AH50" s="154"/>
      <c r="AI50" s="154"/>
      <c r="AJ50" s="154"/>
      <c r="AK50" s="159"/>
    </row>
    <row r="51" spans="1:37" ht="12" customHeight="1" thickBot="1">
      <c r="C51" s="154" t="s">
        <v>1</v>
      </c>
      <c r="D51" s="154"/>
      <c r="E51" s="154"/>
      <c r="F51" s="154"/>
      <c r="G51" s="154"/>
      <c r="H51" s="154"/>
      <c r="J51" s="154"/>
      <c r="K51" s="154"/>
      <c r="L51" s="154"/>
      <c r="M51" s="154"/>
      <c r="N51" s="154"/>
      <c r="O51" s="154"/>
      <c r="P51" s="154"/>
      <c r="Q51" s="154"/>
      <c r="R51" s="154"/>
      <c r="U51" s="154"/>
      <c r="V51" s="154"/>
      <c r="W51" s="154"/>
      <c r="X51" s="154"/>
      <c r="Y51" s="154"/>
      <c r="Z51" s="154"/>
      <c r="AK51" s="159"/>
    </row>
    <row r="52" spans="1:37" ht="45.6" customHeight="1" thickBot="1">
      <c r="D52" s="375" t="s">
        <v>2</v>
      </c>
      <c r="E52" s="376"/>
      <c r="F52" s="376"/>
      <c r="G52" s="376"/>
      <c r="H52" s="376"/>
      <c r="I52" s="377"/>
      <c r="J52" s="378" t="s">
        <v>266</v>
      </c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80"/>
      <c r="V52" s="154"/>
      <c r="W52" s="154"/>
      <c r="X52" s="154"/>
      <c r="Y52" s="154"/>
      <c r="Z52" s="154"/>
      <c r="AK52" s="159"/>
    </row>
    <row r="53" spans="1:37" ht="12" customHeight="1" thickBot="1">
      <c r="D53" s="161" t="s">
        <v>3</v>
      </c>
      <c r="E53" s="160"/>
      <c r="F53" s="160"/>
      <c r="G53" s="160"/>
      <c r="H53" s="160"/>
      <c r="I53" s="162"/>
      <c r="J53" s="369">
        <f>MAX(変更履歴!E4:E33)</f>
        <v>46155</v>
      </c>
      <c r="K53" s="370"/>
      <c r="L53" s="370"/>
      <c r="M53" s="370"/>
      <c r="N53" s="370"/>
      <c r="O53" s="370"/>
      <c r="P53" s="370"/>
      <c r="Q53" s="370"/>
      <c r="R53" s="370"/>
      <c r="S53" s="370"/>
      <c r="T53" s="370"/>
      <c r="U53" s="371"/>
      <c r="V53" s="154"/>
      <c r="W53" s="154"/>
      <c r="X53" s="154"/>
      <c r="Y53" s="154"/>
      <c r="Z53" s="154"/>
    </row>
    <row r="54" spans="1:37" ht="12" customHeight="1">
      <c r="E54" s="154"/>
      <c r="F54" s="154"/>
      <c r="G54" s="154"/>
      <c r="H54" s="154"/>
      <c r="I54" s="154"/>
      <c r="P54" s="154"/>
      <c r="R54" s="154"/>
      <c r="S54" s="154"/>
      <c r="T54" s="154"/>
      <c r="U54" s="154"/>
      <c r="V54" s="154"/>
      <c r="W54" s="154"/>
      <c r="X54" s="154"/>
      <c r="Y54" s="154"/>
      <c r="Z54" s="154"/>
    </row>
  </sheetData>
  <mergeCells count="6">
    <mergeCell ref="J53:U53"/>
    <mergeCell ref="J13:AM20"/>
    <mergeCell ref="J21:AM24"/>
    <mergeCell ref="J25:AM28"/>
    <mergeCell ref="D52:I52"/>
    <mergeCell ref="J52:U52"/>
  </mergeCells>
  <phoneticPr fontId="7"/>
  <printOptions horizontalCentered="1"/>
  <pageMargins left="0.39370078740157483" right="0.39370078740157483" top="0.59055118110236227" bottom="0.39370078740157483" header="0.39370078740157483" footer="0.19685039370078741"/>
  <pageSetup paperSize="9" orientation="landscape" r:id="rId1"/>
  <headerFooter alignWithMargins="0">
    <oddFooter>&amp;C&amp;9&amp;P/&amp;N</oddFooter>
  </headerFooter>
  <rowBreaks count="1" manualBreakCount="1">
    <brk id="4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M37"/>
  <sheetViews>
    <sheetView showGridLines="0" view="pageBreakPreview" zoomScaleNormal="100" zoomScaleSheetLayoutView="100" workbookViewId="0"/>
  </sheetViews>
  <sheetFormatPr defaultColWidth="2.7109375" defaultRowHeight="15.75"/>
  <cols>
    <col min="1" max="1" width="2.7109375" style="130"/>
    <col min="2" max="2" width="5.42578125" style="130" bestFit="1" customWidth="1"/>
    <col min="3" max="3" width="5.42578125" style="130" customWidth="1"/>
    <col min="4" max="4" width="11.5703125" style="130" bestFit="1" customWidth="1"/>
    <col min="5" max="5" width="11.28515625" style="130" bestFit="1" customWidth="1"/>
    <col min="6" max="6" width="9.42578125" style="130" bestFit="1" customWidth="1"/>
    <col min="7" max="7" width="23.85546875" style="130" customWidth="1"/>
    <col min="8" max="8" width="94.42578125" style="130" customWidth="1"/>
    <col min="9" max="10" width="8.28515625" style="130" bestFit="1" customWidth="1"/>
    <col min="11" max="11" width="6.42578125" style="130" bestFit="1" customWidth="1"/>
    <col min="12" max="12" width="21.140625" style="130" customWidth="1"/>
    <col min="13" max="16384" width="2.7109375" style="130"/>
  </cols>
  <sheetData>
    <row r="1" spans="1:13">
      <c r="A1" s="163" t="s">
        <v>4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</row>
    <row r="2" spans="1:13">
      <c r="A2" s="165"/>
    </row>
    <row r="3" spans="1:13">
      <c r="A3" s="165"/>
      <c r="B3" s="89" t="s">
        <v>5</v>
      </c>
      <c r="C3" s="89" t="s">
        <v>6</v>
      </c>
      <c r="D3" s="89" t="s">
        <v>7</v>
      </c>
      <c r="E3" s="89" t="s">
        <v>8</v>
      </c>
      <c r="F3" s="89" t="s">
        <v>9</v>
      </c>
      <c r="G3" s="89" t="s">
        <v>10</v>
      </c>
      <c r="H3" s="89" t="s">
        <v>11</v>
      </c>
      <c r="I3" s="89" t="s">
        <v>12</v>
      </c>
      <c r="J3" s="89" t="s">
        <v>13</v>
      </c>
      <c r="K3" s="89" t="s">
        <v>14</v>
      </c>
      <c r="L3" s="89" t="s">
        <v>15</v>
      </c>
      <c r="M3" s="166"/>
    </row>
    <row r="4" spans="1:13">
      <c r="A4" s="165"/>
      <c r="B4" s="90" t="s">
        <v>16</v>
      </c>
      <c r="C4" s="68" t="s">
        <v>17</v>
      </c>
      <c r="D4" s="134" t="s">
        <v>18</v>
      </c>
      <c r="E4" s="36">
        <v>46155</v>
      </c>
      <c r="F4" s="37" t="s">
        <v>19</v>
      </c>
      <c r="G4" s="38" t="s">
        <v>20</v>
      </c>
      <c r="H4" s="135" t="s">
        <v>21</v>
      </c>
      <c r="I4" s="34" t="s">
        <v>21</v>
      </c>
      <c r="J4" s="36"/>
      <c r="K4" s="37"/>
      <c r="L4" s="33"/>
      <c r="M4" s="131"/>
    </row>
    <row r="5" spans="1:13">
      <c r="B5" s="29"/>
      <c r="C5" s="68"/>
      <c r="D5" s="134"/>
      <c r="E5" s="36"/>
      <c r="F5" s="37"/>
      <c r="G5" s="136"/>
      <c r="H5" s="35"/>
      <c r="I5" s="34"/>
      <c r="J5" s="36"/>
      <c r="K5" s="37"/>
      <c r="L5" s="33"/>
      <c r="M5" s="131"/>
    </row>
    <row r="6" spans="1:13">
      <c r="B6" s="29"/>
      <c r="C6" s="68"/>
      <c r="D6" s="134"/>
      <c r="E6" s="31"/>
      <c r="F6" s="32"/>
      <c r="G6" s="136"/>
      <c r="H6" s="135"/>
      <c r="I6" s="34"/>
      <c r="J6" s="31"/>
      <c r="K6" s="32"/>
      <c r="L6" s="33"/>
      <c r="M6" s="131"/>
    </row>
    <row r="7" spans="1:13">
      <c r="B7" s="29"/>
      <c r="C7" s="68"/>
      <c r="D7" s="134"/>
      <c r="E7" s="31"/>
      <c r="F7" s="32"/>
      <c r="G7" s="136"/>
      <c r="H7" s="35"/>
      <c r="I7" s="34"/>
      <c r="J7" s="31"/>
      <c r="K7" s="32"/>
      <c r="L7" s="33"/>
      <c r="M7" s="131"/>
    </row>
    <row r="8" spans="1:13">
      <c r="B8" s="29"/>
      <c r="C8" s="68"/>
      <c r="D8" s="134"/>
      <c r="E8" s="31"/>
      <c r="F8" s="32"/>
      <c r="G8" s="136"/>
      <c r="H8" s="35"/>
      <c r="I8" s="34"/>
      <c r="J8" s="31"/>
      <c r="K8" s="32"/>
      <c r="L8" s="33"/>
      <c r="M8" s="131"/>
    </row>
    <row r="9" spans="1:13">
      <c r="B9" s="29"/>
      <c r="C9" s="68"/>
      <c r="D9" s="134"/>
      <c r="E9" s="31"/>
      <c r="F9" s="32"/>
      <c r="G9" s="136"/>
      <c r="H9" s="135"/>
      <c r="I9" s="34"/>
      <c r="J9" s="31"/>
      <c r="K9" s="32"/>
      <c r="L9" s="33"/>
      <c r="M9" s="131"/>
    </row>
    <row r="10" spans="1:13">
      <c r="B10" s="29"/>
      <c r="C10" s="68"/>
      <c r="D10" s="134"/>
      <c r="E10" s="31"/>
      <c r="F10" s="32"/>
      <c r="G10" s="136"/>
      <c r="H10" s="135"/>
      <c r="I10" s="34"/>
      <c r="J10" s="31"/>
      <c r="K10" s="32"/>
      <c r="L10" s="33"/>
      <c r="M10" s="131"/>
    </row>
    <row r="11" spans="1:13">
      <c r="B11" s="29"/>
      <c r="C11" s="68"/>
      <c r="D11" s="134"/>
      <c r="E11" s="31"/>
      <c r="F11" s="32"/>
      <c r="G11" s="136"/>
      <c r="H11" s="135"/>
      <c r="I11" s="34"/>
      <c r="J11" s="31"/>
      <c r="K11" s="32"/>
      <c r="L11" s="33"/>
      <c r="M11" s="131"/>
    </row>
    <row r="12" spans="1:13">
      <c r="B12" s="29"/>
      <c r="C12" s="68"/>
      <c r="D12" s="134"/>
      <c r="E12" s="31"/>
      <c r="F12" s="32"/>
      <c r="G12" s="136"/>
      <c r="H12" s="135"/>
      <c r="I12" s="34"/>
      <c r="J12" s="31"/>
      <c r="K12" s="32"/>
      <c r="L12" s="33"/>
      <c r="M12" s="131"/>
    </row>
    <row r="13" spans="1:13" ht="15.75" customHeight="1">
      <c r="B13" s="29"/>
      <c r="C13" s="68"/>
      <c r="D13" s="30"/>
      <c r="E13" s="31"/>
      <c r="F13" s="91"/>
      <c r="G13" s="136"/>
      <c r="H13" s="35"/>
      <c r="I13" s="34"/>
      <c r="J13" s="31"/>
      <c r="K13" s="32"/>
      <c r="L13" s="33"/>
      <c r="M13" s="131"/>
    </row>
    <row r="14" spans="1:13" ht="15.75" customHeight="1">
      <c r="B14" s="29"/>
      <c r="C14" s="68"/>
      <c r="D14" s="30"/>
      <c r="E14" s="31"/>
      <c r="F14" s="32"/>
      <c r="G14" s="38"/>
      <c r="H14" s="35"/>
      <c r="I14" s="34"/>
      <c r="J14" s="31"/>
      <c r="K14" s="32"/>
      <c r="L14" s="33"/>
      <c r="M14" s="131"/>
    </row>
    <row r="15" spans="1:13" ht="15.75" customHeight="1">
      <c r="B15" s="29"/>
      <c r="C15" s="68"/>
      <c r="D15" s="30"/>
      <c r="E15" s="31"/>
      <c r="F15" s="32"/>
      <c r="G15" s="38"/>
      <c r="H15" s="35"/>
      <c r="I15" s="34"/>
      <c r="J15" s="31"/>
      <c r="K15" s="32"/>
      <c r="L15" s="33"/>
      <c r="M15" s="131"/>
    </row>
    <row r="16" spans="1:13" ht="15.75" customHeight="1">
      <c r="B16" s="29"/>
      <c r="C16" s="68"/>
      <c r="D16" s="30"/>
      <c r="E16" s="31"/>
      <c r="F16" s="32"/>
      <c r="G16" s="38"/>
      <c r="H16" s="35"/>
      <c r="I16" s="34"/>
      <c r="J16" s="31"/>
      <c r="K16" s="32"/>
      <c r="L16" s="33"/>
      <c r="M16" s="131"/>
    </row>
    <row r="17" spans="2:13" ht="15.75" customHeight="1">
      <c r="B17" s="29"/>
      <c r="C17" s="68"/>
      <c r="D17" s="30"/>
      <c r="E17" s="31"/>
      <c r="F17" s="32"/>
      <c r="G17" s="33"/>
      <c r="H17" s="35"/>
      <c r="I17" s="34"/>
      <c r="J17" s="31"/>
      <c r="K17" s="32"/>
      <c r="L17" s="33"/>
      <c r="M17" s="131"/>
    </row>
    <row r="18" spans="2:13" ht="15.75" customHeight="1">
      <c r="B18" s="29"/>
      <c r="C18" s="68"/>
      <c r="D18" s="30"/>
      <c r="E18" s="31"/>
      <c r="F18" s="32"/>
      <c r="G18" s="33"/>
      <c r="H18" s="35"/>
      <c r="I18" s="34"/>
      <c r="J18" s="31"/>
      <c r="K18" s="32"/>
      <c r="L18" s="33"/>
      <c r="M18" s="131"/>
    </row>
    <row r="19" spans="2:13" ht="15.75" customHeight="1">
      <c r="B19" s="29"/>
      <c r="C19" s="68"/>
      <c r="D19" s="30"/>
      <c r="E19" s="31"/>
      <c r="F19" s="32"/>
      <c r="G19" s="33"/>
      <c r="H19" s="35"/>
      <c r="I19" s="34"/>
      <c r="J19" s="31"/>
      <c r="K19" s="32"/>
      <c r="L19" s="33"/>
      <c r="M19" s="131"/>
    </row>
    <row r="20" spans="2:13" ht="15.75" customHeight="1">
      <c r="B20" s="29"/>
      <c r="C20" s="68"/>
      <c r="D20" s="30"/>
      <c r="E20" s="31"/>
      <c r="F20" s="32"/>
      <c r="G20" s="38"/>
      <c r="H20" s="35"/>
      <c r="I20" s="34"/>
      <c r="J20" s="31"/>
      <c r="K20" s="32"/>
      <c r="L20" s="33"/>
      <c r="M20" s="131"/>
    </row>
    <row r="21" spans="2:13" ht="15.75" customHeight="1">
      <c r="B21" s="29"/>
      <c r="C21" s="68"/>
      <c r="D21" s="30"/>
      <c r="E21" s="31"/>
      <c r="F21" s="32"/>
      <c r="G21" s="38"/>
      <c r="H21" s="35"/>
      <c r="I21" s="34"/>
      <c r="J21" s="31"/>
      <c r="K21" s="32"/>
      <c r="L21" s="33"/>
      <c r="M21" s="131"/>
    </row>
    <row r="22" spans="2:13" ht="15.75" customHeight="1">
      <c r="B22" s="29"/>
      <c r="C22" s="68"/>
      <c r="D22" s="30"/>
      <c r="E22" s="31"/>
      <c r="F22" s="32"/>
      <c r="G22" s="38"/>
      <c r="H22" s="35"/>
      <c r="I22" s="34"/>
      <c r="J22" s="31"/>
      <c r="K22" s="32"/>
      <c r="L22" s="33"/>
      <c r="M22" s="131"/>
    </row>
    <row r="23" spans="2:13" ht="15.75" customHeight="1">
      <c r="B23" s="29"/>
      <c r="C23" s="68"/>
      <c r="D23" s="30"/>
      <c r="E23" s="31"/>
      <c r="F23" s="32"/>
      <c r="G23" s="33"/>
      <c r="H23" s="35"/>
      <c r="I23" s="34"/>
      <c r="J23" s="31"/>
      <c r="K23" s="32"/>
      <c r="L23" s="33"/>
      <c r="M23" s="131"/>
    </row>
    <row r="24" spans="2:13" ht="15.75" customHeight="1">
      <c r="B24" s="29"/>
      <c r="C24" s="92"/>
      <c r="D24" s="30"/>
      <c r="E24" s="31"/>
      <c r="F24" s="32"/>
      <c r="G24" s="33"/>
      <c r="H24" s="35"/>
      <c r="I24" s="34"/>
      <c r="J24" s="31"/>
      <c r="K24" s="32"/>
      <c r="L24" s="33"/>
      <c r="M24" s="131"/>
    </row>
    <row r="25" spans="2:13" ht="15.75" customHeight="1">
      <c r="B25" s="29"/>
      <c r="C25" s="92"/>
      <c r="D25" s="30"/>
      <c r="E25" s="31"/>
      <c r="F25" s="32"/>
      <c r="G25" s="33"/>
      <c r="H25" s="35"/>
      <c r="I25" s="34"/>
      <c r="J25" s="31"/>
      <c r="K25" s="32"/>
      <c r="L25" s="33"/>
      <c r="M25" s="131"/>
    </row>
    <row r="26" spans="2:13" ht="15.75" customHeight="1">
      <c r="B26" s="29"/>
      <c r="C26" s="123"/>
      <c r="D26" s="124"/>
      <c r="E26" s="125"/>
      <c r="F26" s="126"/>
      <c r="G26" s="127"/>
      <c r="H26" s="128"/>
      <c r="I26" s="129"/>
      <c r="J26" s="125"/>
      <c r="K26" s="126"/>
      <c r="L26" s="127"/>
      <c r="M26" s="131"/>
    </row>
    <row r="27" spans="2:13" ht="15.75" customHeight="1">
      <c r="B27" s="29"/>
      <c r="C27" s="123"/>
      <c r="D27" s="124"/>
      <c r="E27" s="125"/>
      <c r="F27" s="126"/>
      <c r="G27" s="127"/>
      <c r="H27" s="128"/>
      <c r="I27" s="129"/>
      <c r="J27" s="125"/>
      <c r="K27" s="126"/>
      <c r="L27" s="127"/>
      <c r="M27" s="131"/>
    </row>
    <row r="28" spans="2:13" ht="15.75" customHeight="1">
      <c r="B28" s="29"/>
      <c r="C28" s="123"/>
      <c r="D28" s="124"/>
      <c r="E28" s="125"/>
      <c r="F28" s="126"/>
      <c r="G28" s="127"/>
      <c r="H28" s="128"/>
      <c r="I28" s="129"/>
      <c r="J28" s="125"/>
      <c r="K28" s="126"/>
      <c r="L28" s="127"/>
      <c r="M28" s="131"/>
    </row>
    <row r="29" spans="2:13" ht="15.75" customHeight="1">
      <c r="B29" s="29"/>
      <c r="C29" s="123"/>
      <c r="D29" s="30"/>
      <c r="E29" s="31"/>
      <c r="F29" s="32"/>
      <c r="G29" s="33"/>
      <c r="H29" s="35"/>
      <c r="I29" s="34"/>
      <c r="J29" s="31"/>
      <c r="K29" s="32"/>
      <c r="L29" s="33"/>
      <c r="M29" s="131"/>
    </row>
    <row r="30" spans="2:13" ht="15.75" customHeight="1">
      <c r="B30" s="29"/>
      <c r="C30" s="123"/>
      <c r="D30" s="30"/>
      <c r="E30" s="31"/>
      <c r="F30" s="91"/>
      <c r="G30" s="33"/>
      <c r="H30" s="35"/>
      <c r="I30" s="34"/>
      <c r="J30" s="31"/>
      <c r="K30" s="32"/>
      <c r="L30" s="33"/>
      <c r="M30" s="131"/>
    </row>
    <row r="31" spans="2:13" ht="15.75" customHeight="1">
      <c r="B31" s="167"/>
      <c r="C31" s="123"/>
      <c r="D31" s="30"/>
      <c r="E31" s="132"/>
      <c r="F31" s="32"/>
      <c r="G31" s="38"/>
      <c r="H31" s="35"/>
      <c r="I31" s="133"/>
      <c r="J31" s="31"/>
      <c r="K31" s="32"/>
      <c r="L31" s="33"/>
      <c r="M31" s="131"/>
    </row>
    <row r="32" spans="2:13" ht="15.75" customHeight="1">
      <c r="B32" s="29"/>
      <c r="C32" s="60"/>
      <c r="D32" s="30"/>
      <c r="E32" s="31"/>
      <c r="F32" s="32"/>
      <c r="G32" s="33"/>
      <c r="H32" s="35"/>
      <c r="I32" s="34"/>
      <c r="J32" s="31"/>
      <c r="K32" s="32"/>
      <c r="L32" s="33"/>
      <c r="M32" s="131"/>
    </row>
    <row r="33" spans="2:13" ht="15.75" customHeight="1">
      <c r="B33" s="93"/>
      <c r="C33" s="94"/>
      <c r="D33" s="95"/>
      <c r="E33" s="96"/>
      <c r="F33" s="97"/>
      <c r="G33" s="98"/>
      <c r="H33" s="99"/>
      <c r="I33" s="100"/>
      <c r="J33" s="96"/>
      <c r="K33" s="97"/>
      <c r="L33" s="98"/>
      <c r="M33" s="131"/>
    </row>
    <row r="34" spans="2:13">
      <c r="B34" s="168"/>
      <c r="C34" s="168"/>
      <c r="D34" s="169"/>
      <c r="E34" s="170"/>
      <c r="F34" s="166"/>
      <c r="G34" s="131"/>
      <c r="H34" s="171"/>
      <c r="I34" s="166"/>
      <c r="J34" s="170"/>
      <c r="K34" s="166"/>
      <c r="L34" s="131"/>
      <c r="M34" s="131"/>
    </row>
    <row r="35" spans="2:13">
      <c r="B35" s="168"/>
      <c r="C35" s="168"/>
      <c r="D35" s="169"/>
      <c r="E35" s="170"/>
      <c r="F35" s="166"/>
      <c r="G35" s="131"/>
      <c r="H35" s="171"/>
      <c r="I35" s="166"/>
      <c r="J35" s="170"/>
      <c r="K35" s="166"/>
      <c r="L35" s="131"/>
      <c r="M35" s="131"/>
    </row>
    <row r="36" spans="2:13">
      <c r="B36" s="168"/>
      <c r="C36" s="168"/>
      <c r="D36" s="169"/>
      <c r="E36" s="170"/>
      <c r="F36" s="166"/>
      <c r="G36" s="131"/>
      <c r="H36" s="171"/>
      <c r="I36" s="166"/>
      <c r="J36" s="170"/>
      <c r="K36" s="166"/>
      <c r="L36" s="131"/>
      <c r="M36" s="131"/>
    </row>
    <row r="37" spans="2:13">
      <c r="B37" s="168"/>
      <c r="C37" s="168"/>
      <c r="D37" s="169"/>
      <c r="E37" s="170"/>
      <c r="F37" s="166"/>
      <c r="G37" s="131"/>
      <c r="H37" s="171"/>
      <c r="I37" s="166"/>
      <c r="J37" s="170"/>
      <c r="K37" s="166"/>
      <c r="L37" s="131"/>
      <c r="M37" s="131"/>
    </row>
  </sheetData>
  <phoneticPr fontId="7"/>
  <printOptions horizontalCentered="1"/>
  <pageMargins left="0.70866141732283472" right="0.70866141732283472" top="0.74803149606299213" bottom="0.74803149606299213" header="0.31496062992125984" footer="0.31496062992125984"/>
  <pageSetup paperSize="9" scale="62" orientation="landscape" r:id="rId1"/>
  <headerFooter>
    <oddFooter>&amp;C&amp;P/&amp;N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5F46EF8C-11CC-4A4A-8C7A-0571F0C5630C}">
          <x14:formula1>
            <xm:f>リスト!$E$7:$E$9</xm:f>
          </x14:formula1>
          <xm:sqref>I4:I28 I30 I32:I37</xm:sqref>
        </x14:dataValidation>
        <x14:dataValidation type="list" allowBlank="1" showInputMessage="1" showErrorMessage="1" xr:uid="{C4C2DD0C-78C5-45AC-B666-C6936A1E6C9D}">
          <x14:formula1>
            <xm:f>'C:\Users\tatsuya.oosaki\Documents\IFAP\案件\Ph1_0905\設計書マージ\入出金\[ん＿画面定義書_SUB020302_0203-01_入出金明細.xlsx]リスト'!#REF!</xm:f>
          </x14:formula1>
          <xm:sqref>I29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8989-A612-4753-A9E7-34189965E8E3}">
  <sheetPr codeName="Sheet5">
    <pageSetUpPr fitToPage="1"/>
  </sheetPr>
  <dimension ref="A1:E18"/>
  <sheetViews>
    <sheetView zoomScaleNormal="100" workbookViewId="0"/>
  </sheetViews>
  <sheetFormatPr defaultColWidth="8.85546875" defaultRowHeight="15.75"/>
  <cols>
    <col min="1" max="1" width="4" style="44" customWidth="1"/>
    <col min="2" max="2" width="5.42578125" style="44" bestFit="1" customWidth="1"/>
    <col min="3" max="3" width="28.28515625" style="44" customWidth="1"/>
    <col min="4" max="4" width="6.42578125" style="44" bestFit="1" customWidth="1"/>
    <col min="5" max="5" width="40.42578125" style="44" bestFit="1" customWidth="1"/>
    <col min="6" max="16384" width="8.85546875" style="44"/>
  </cols>
  <sheetData>
    <row r="1" spans="1:5">
      <c r="A1" s="1" t="s">
        <v>22</v>
      </c>
    </row>
    <row r="3" spans="1:5">
      <c r="B3" s="45" t="s">
        <v>5</v>
      </c>
      <c r="C3" s="45" t="s">
        <v>23</v>
      </c>
      <c r="D3" s="45" t="s">
        <v>24</v>
      </c>
      <c r="E3" s="45" t="s">
        <v>25</v>
      </c>
    </row>
    <row r="4" spans="1:5">
      <c r="B4" s="46">
        <v>1</v>
      </c>
      <c r="C4" s="46" t="s">
        <v>26</v>
      </c>
      <c r="D4" s="122"/>
      <c r="E4" s="46"/>
    </row>
    <row r="5" spans="1:5">
      <c r="B5" s="46">
        <v>2</v>
      </c>
      <c r="C5" s="46" t="s">
        <v>27</v>
      </c>
      <c r="D5" s="122"/>
      <c r="E5" s="46"/>
    </row>
    <row r="6" spans="1:5">
      <c r="B6" s="46">
        <v>3</v>
      </c>
      <c r="C6" s="46" t="s">
        <v>28</v>
      </c>
      <c r="D6" s="122"/>
      <c r="E6" s="46"/>
    </row>
    <row r="7" spans="1:5">
      <c r="B7" s="46">
        <v>4</v>
      </c>
      <c r="C7" s="46" t="s">
        <v>29</v>
      </c>
      <c r="D7" s="122"/>
      <c r="E7" s="46"/>
    </row>
    <row r="8" spans="1:5">
      <c r="B8" s="46">
        <v>5</v>
      </c>
      <c r="C8" s="46" t="s">
        <v>30</v>
      </c>
      <c r="E8" s="46"/>
    </row>
    <row r="9" spans="1:5">
      <c r="B9" s="46">
        <v>6</v>
      </c>
      <c r="C9" s="46" t="s">
        <v>31</v>
      </c>
      <c r="D9" s="122"/>
      <c r="E9" s="46"/>
    </row>
    <row r="10" spans="1:5">
      <c r="B10" s="46">
        <v>7</v>
      </c>
      <c r="C10" s="46" t="s">
        <v>32</v>
      </c>
      <c r="D10" s="122"/>
      <c r="E10" s="46"/>
    </row>
    <row r="11" spans="1:5">
      <c r="B11" s="46">
        <v>8</v>
      </c>
      <c r="C11" s="46" t="s">
        <v>33</v>
      </c>
      <c r="D11" s="122"/>
      <c r="E11" s="46"/>
    </row>
    <row r="12" spans="1:5">
      <c r="B12" s="46">
        <v>9</v>
      </c>
      <c r="C12" s="46" t="s">
        <v>34</v>
      </c>
      <c r="D12" s="122" t="s">
        <v>35</v>
      </c>
      <c r="E12" s="46"/>
    </row>
    <row r="13" spans="1:5">
      <c r="B13" s="46">
        <v>10</v>
      </c>
      <c r="C13" s="46" t="s">
        <v>36</v>
      </c>
      <c r="D13" s="122" t="s">
        <v>35</v>
      </c>
      <c r="E13" s="46"/>
    </row>
    <row r="14" spans="1:5">
      <c r="B14" s="46">
        <v>11</v>
      </c>
      <c r="C14" s="46" t="s">
        <v>37</v>
      </c>
      <c r="D14" s="122"/>
      <c r="E14" s="46"/>
    </row>
    <row r="15" spans="1:5">
      <c r="B15" s="46">
        <v>12</v>
      </c>
      <c r="C15" s="46" t="s">
        <v>38</v>
      </c>
      <c r="D15" s="122" t="s">
        <v>35</v>
      </c>
      <c r="E15" s="46"/>
    </row>
    <row r="16" spans="1:5">
      <c r="B16" s="46">
        <v>13</v>
      </c>
      <c r="C16" s="46" t="s">
        <v>39</v>
      </c>
      <c r="D16" s="122" t="s">
        <v>35</v>
      </c>
      <c r="E16" s="46"/>
    </row>
    <row r="17" spans="2:5">
      <c r="B17" s="46">
        <v>14</v>
      </c>
      <c r="C17" s="46" t="s">
        <v>461</v>
      </c>
      <c r="D17" s="122"/>
      <c r="E17" s="46"/>
    </row>
    <row r="18" spans="2:5">
      <c r="B18" s="46">
        <v>15</v>
      </c>
      <c r="C18" s="46" t="s">
        <v>460</v>
      </c>
      <c r="D18" s="122"/>
      <c r="E18" s="46"/>
    </row>
  </sheetData>
  <phoneticPr fontId="7"/>
  <pageMargins left="0.25" right="0.2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E9FC-58B4-4C1C-A0F1-B4D2CE292BF5}">
  <sheetPr codeName="Sheet6">
    <pageSetUpPr fitToPage="1"/>
  </sheetPr>
  <dimension ref="A1:U22"/>
  <sheetViews>
    <sheetView showGridLines="0" view="pageBreakPreview" zoomScaleNormal="100" zoomScaleSheetLayoutView="100" workbookViewId="0"/>
  </sheetViews>
  <sheetFormatPr defaultColWidth="3" defaultRowHeight="15.75"/>
  <cols>
    <col min="1" max="4" width="3" style="19"/>
    <col min="5" max="5" width="16.42578125" style="19" customWidth="1"/>
    <col min="6" max="6" width="39.5703125" style="19" bestFit="1" customWidth="1"/>
    <col min="7" max="7" width="48.7109375" style="19" bestFit="1" customWidth="1"/>
    <col min="8" max="8" width="14" style="19" bestFit="1" customWidth="1"/>
    <col min="9" max="9" width="39" style="19" bestFit="1" customWidth="1"/>
    <col min="10" max="10" width="30" style="19" bestFit="1" customWidth="1"/>
    <col min="11" max="14" width="5.42578125" style="19" bestFit="1" customWidth="1"/>
    <col min="15" max="15" width="21" style="19" customWidth="1"/>
    <col min="16" max="16" width="3" style="19"/>
    <col min="17" max="17" width="9.42578125" style="21" bestFit="1" customWidth="1"/>
    <col min="18" max="18" width="14.5703125" style="21" bestFit="1" customWidth="1"/>
    <col min="19" max="20" width="14.5703125" style="21" customWidth="1"/>
    <col min="21" max="21" width="32.42578125" style="20" customWidth="1"/>
    <col min="22" max="16384" width="3" style="19"/>
  </cols>
  <sheetData>
    <row r="1" spans="1:21" s="10" customFormat="1" ht="15" customHeight="1">
      <c r="A1" s="87"/>
      <c r="Q1" s="22" t="s">
        <v>40</v>
      </c>
      <c r="R1" s="22" t="s">
        <v>41</v>
      </c>
      <c r="S1" s="64" t="s">
        <v>42</v>
      </c>
      <c r="T1" s="63" t="s">
        <v>43</v>
      </c>
      <c r="U1" s="22" t="s">
        <v>44</v>
      </c>
    </row>
    <row r="2" spans="1:21" ht="28.5">
      <c r="B2" s="39" t="s">
        <v>45</v>
      </c>
      <c r="Q2" s="26"/>
      <c r="R2" s="26"/>
      <c r="S2" s="51"/>
      <c r="T2" s="51"/>
      <c r="U2" s="26"/>
    </row>
    <row r="3" spans="1:21">
      <c r="C3" s="66"/>
      <c r="D3" s="66"/>
      <c r="E3" s="66"/>
      <c r="F3" s="66"/>
      <c r="G3" s="66"/>
      <c r="Q3" s="27"/>
      <c r="R3" s="27"/>
      <c r="S3" s="27"/>
      <c r="T3" s="27"/>
      <c r="U3" s="26"/>
    </row>
    <row r="4" spans="1:21">
      <c r="C4" s="66"/>
      <c r="D4" s="66"/>
      <c r="E4" s="66"/>
      <c r="F4" s="66"/>
      <c r="G4" s="66"/>
      <c r="Q4" s="27"/>
      <c r="R4" s="27"/>
      <c r="S4" s="27"/>
      <c r="T4" s="27"/>
      <c r="U4" s="26"/>
    </row>
    <row r="5" spans="1:21">
      <c r="Q5" s="27"/>
      <c r="R5" s="27"/>
      <c r="S5" s="27"/>
      <c r="T5" s="27"/>
      <c r="U5" s="26"/>
    </row>
    <row r="6" spans="1:21" s="172" customFormat="1" ht="12">
      <c r="Q6" s="27"/>
      <c r="R6" s="27"/>
      <c r="S6" s="27"/>
      <c r="T6" s="27"/>
      <c r="U6" s="173"/>
    </row>
    <row r="7" spans="1:21" s="172" customFormat="1" ht="12">
      <c r="C7" s="174" t="s">
        <v>46</v>
      </c>
      <c r="Q7" s="27"/>
      <c r="R7" s="27"/>
      <c r="S7" s="27"/>
      <c r="T7" s="27"/>
      <c r="U7" s="173"/>
    </row>
    <row r="8" spans="1:21" s="172" customFormat="1" ht="12">
      <c r="E8" s="175" t="s">
        <v>47</v>
      </c>
      <c r="F8" s="175" t="s">
        <v>48</v>
      </c>
      <c r="G8" s="175" t="s">
        <v>49</v>
      </c>
      <c r="H8" s="175" t="s">
        <v>50</v>
      </c>
      <c r="I8" s="176" t="s">
        <v>51</v>
      </c>
      <c r="J8" s="175" t="s">
        <v>52</v>
      </c>
      <c r="K8" s="175" t="s">
        <v>53</v>
      </c>
      <c r="L8" s="177"/>
      <c r="M8" s="177"/>
      <c r="N8" s="177"/>
      <c r="O8" s="178"/>
      <c r="Q8" s="27"/>
      <c r="R8" s="27"/>
      <c r="S8" s="27"/>
      <c r="T8" s="27"/>
      <c r="U8" s="173"/>
    </row>
    <row r="9" spans="1:21" s="172" customFormat="1" ht="12">
      <c r="E9" s="366" t="s">
        <v>66</v>
      </c>
      <c r="F9" s="179" t="s">
        <v>430</v>
      </c>
      <c r="G9" s="179" t="s">
        <v>266</v>
      </c>
      <c r="H9" s="180" t="s">
        <v>54</v>
      </c>
      <c r="I9" s="179" t="s">
        <v>55</v>
      </c>
      <c r="J9" s="179" t="s">
        <v>249</v>
      </c>
      <c r="K9" s="180"/>
      <c r="L9" s="181"/>
      <c r="M9" s="181"/>
      <c r="N9" s="181"/>
      <c r="O9" s="182"/>
      <c r="Q9" s="27"/>
      <c r="R9" s="27"/>
      <c r="S9" s="27"/>
      <c r="T9" s="27"/>
      <c r="U9" s="173"/>
    </row>
    <row r="10" spans="1:21" s="172" customFormat="1" ht="12">
      <c r="Q10" s="27"/>
      <c r="R10" s="27"/>
      <c r="S10" s="27"/>
      <c r="T10" s="27"/>
      <c r="U10" s="173"/>
    </row>
    <row r="11" spans="1:21" s="172" customFormat="1" ht="12">
      <c r="C11" s="186" t="s">
        <v>59</v>
      </c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27"/>
      <c r="R11" s="27"/>
      <c r="S11" s="27"/>
      <c r="T11" s="27"/>
      <c r="U11" s="27"/>
    </row>
    <row r="12" spans="1:21" s="172" customFormat="1" ht="12">
      <c r="C12" s="187"/>
      <c r="D12" s="187"/>
      <c r="E12" s="188" t="s">
        <v>60</v>
      </c>
      <c r="F12" s="188" t="s">
        <v>61</v>
      </c>
      <c r="G12" s="188" t="s">
        <v>62</v>
      </c>
      <c r="H12" s="189"/>
      <c r="I12" s="189"/>
      <c r="J12" s="189"/>
      <c r="K12" s="188" t="s">
        <v>63</v>
      </c>
      <c r="L12" s="188" t="s">
        <v>64</v>
      </c>
      <c r="M12" s="188" t="s">
        <v>53</v>
      </c>
      <c r="N12" s="189"/>
      <c r="O12" s="190"/>
      <c r="P12" s="187"/>
      <c r="Q12" s="27"/>
      <c r="R12" s="27"/>
      <c r="S12" s="27"/>
      <c r="T12" s="27"/>
      <c r="U12" s="27"/>
    </row>
    <row r="13" spans="1:21" s="172" customFormat="1" ht="12">
      <c r="C13" s="187"/>
      <c r="D13" s="187"/>
      <c r="E13" s="191" t="s">
        <v>65</v>
      </c>
      <c r="F13" s="192"/>
      <c r="G13" s="191"/>
      <c r="H13" s="193"/>
      <c r="I13" s="193"/>
      <c r="J13" s="185"/>
      <c r="K13" s="191" t="s">
        <v>66</v>
      </c>
      <c r="L13" s="194" t="s">
        <v>66</v>
      </c>
      <c r="M13" s="193"/>
      <c r="N13" s="193"/>
      <c r="O13" s="195"/>
      <c r="P13" s="187"/>
      <c r="Q13" s="27"/>
      <c r="R13" s="27"/>
      <c r="S13" s="27"/>
      <c r="T13" s="27"/>
      <c r="U13" s="27"/>
    </row>
    <row r="14" spans="1:21" s="172" customFormat="1" ht="12">
      <c r="C14" s="187"/>
      <c r="D14" s="187"/>
      <c r="E14" s="196"/>
      <c r="F14" s="183"/>
      <c r="G14" s="196"/>
      <c r="H14" s="196"/>
      <c r="I14" s="196"/>
      <c r="J14" s="183"/>
      <c r="K14" s="196"/>
      <c r="L14" s="196"/>
      <c r="M14" s="196"/>
      <c r="N14" s="196"/>
      <c r="O14" s="196"/>
      <c r="P14" s="187"/>
      <c r="Q14" s="27"/>
      <c r="R14" s="27"/>
      <c r="S14" s="27"/>
      <c r="T14" s="27"/>
      <c r="U14" s="27"/>
    </row>
    <row r="15" spans="1:21" s="172" customFormat="1" ht="12">
      <c r="C15" s="186" t="s">
        <v>67</v>
      </c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27"/>
      <c r="R15" s="27"/>
      <c r="S15" s="27"/>
      <c r="T15" s="27"/>
      <c r="U15" s="27"/>
    </row>
    <row r="16" spans="1:21" s="172" customFormat="1" ht="12">
      <c r="C16" s="187"/>
      <c r="D16" s="187"/>
      <c r="E16" s="188" t="s">
        <v>68</v>
      </c>
      <c r="F16" s="188" t="s">
        <v>69</v>
      </c>
      <c r="G16" s="188" t="s">
        <v>70</v>
      </c>
      <c r="H16" s="189"/>
      <c r="I16" s="189"/>
      <c r="J16" s="176" t="s">
        <v>71</v>
      </c>
      <c r="K16" s="188" t="s">
        <v>63</v>
      </c>
      <c r="L16" s="176" t="s">
        <v>64</v>
      </c>
      <c r="M16" s="188" t="s">
        <v>53</v>
      </c>
      <c r="N16" s="189"/>
      <c r="O16" s="190"/>
      <c r="P16" s="187"/>
      <c r="Q16" s="27"/>
      <c r="R16" s="27"/>
      <c r="S16" s="27"/>
      <c r="T16" s="27"/>
      <c r="U16" s="27"/>
    </row>
    <row r="17" spans="3:21" s="172" customFormat="1" ht="12">
      <c r="C17" s="187"/>
      <c r="D17" s="187"/>
      <c r="E17" s="191" t="s">
        <v>65</v>
      </c>
      <c r="F17" s="191"/>
      <c r="G17" s="191"/>
      <c r="H17" s="193"/>
      <c r="I17" s="193"/>
      <c r="J17" s="194"/>
      <c r="K17" s="191" t="s">
        <v>66</v>
      </c>
      <c r="L17" s="194" t="s">
        <v>66</v>
      </c>
      <c r="M17" s="193"/>
      <c r="N17" s="193"/>
      <c r="O17" s="195"/>
      <c r="P17" s="187"/>
      <c r="Q17" s="27"/>
      <c r="R17" s="27"/>
      <c r="S17" s="27"/>
      <c r="T17" s="27"/>
      <c r="U17" s="27"/>
    </row>
    <row r="18" spans="3:21" s="172" customFormat="1" ht="12">
      <c r="C18" s="187"/>
      <c r="D18" s="187"/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87"/>
      <c r="Q18" s="27"/>
      <c r="R18" s="27"/>
      <c r="S18" s="27"/>
      <c r="T18" s="27"/>
      <c r="U18" s="27"/>
    </row>
    <row r="19" spans="3:21" s="172" customFormat="1" ht="12">
      <c r="C19" s="174" t="s">
        <v>72</v>
      </c>
      <c r="Q19" s="27"/>
      <c r="R19" s="27"/>
      <c r="S19" s="27"/>
      <c r="T19" s="27"/>
      <c r="U19" s="173"/>
    </row>
    <row r="20" spans="3:21" s="172" customFormat="1" ht="12">
      <c r="E20" s="175" t="s">
        <v>73</v>
      </c>
      <c r="F20" s="175" t="s">
        <v>74</v>
      </c>
      <c r="G20" s="175" t="s">
        <v>462</v>
      </c>
      <c r="H20" s="197" t="s">
        <v>75</v>
      </c>
      <c r="I20" s="175" t="s">
        <v>76</v>
      </c>
      <c r="J20" s="197" t="s">
        <v>463</v>
      </c>
      <c r="K20" s="175" t="s">
        <v>63</v>
      </c>
      <c r="L20" s="175" t="s">
        <v>77</v>
      </c>
      <c r="M20" s="175" t="s">
        <v>64</v>
      </c>
      <c r="N20" s="175" t="s">
        <v>78</v>
      </c>
      <c r="O20" s="197" t="s">
        <v>53</v>
      </c>
      <c r="Q20" s="27"/>
      <c r="R20" s="27"/>
      <c r="S20" s="27"/>
      <c r="T20" s="27"/>
      <c r="U20" s="173"/>
    </row>
    <row r="21" spans="3:21" s="172" customFormat="1" ht="12">
      <c r="C21" s="198"/>
      <c r="E21" s="180" t="s">
        <v>79</v>
      </c>
      <c r="F21" s="192"/>
      <c r="G21" s="184" t="s">
        <v>467</v>
      </c>
      <c r="H21" s="184" t="s">
        <v>80</v>
      </c>
      <c r="I21" s="185" t="s">
        <v>82</v>
      </c>
      <c r="J21" s="184" t="s">
        <v>464</v>
      </c>
      <c r="K21" s="199" t="s">
        <v>81</v>
      </c>
      <c r="L21" s="179" t="s">
        <v>55</v>
      </c>
      <c r="M21" s="179" t="s">
        <v>66</v>
      </c>
      <c r="N21" s="179" t="s">
        <v>66</v>
      </c>
      <c r="O21" s="184"/>
      <c r="Q21" s="27"/>
      <c r="R21" s="27"/>
      <c r="S21" s="27"/>
      <c r="T21" s="27"/>
      <c r="U21" s="173"/>
    </row>
    <row r="22" spans="3:21" s="172" customFormat="1" ht="12">
      <c r="C22" s="198"/>
      <c r="E22" s="180" t="s">
        <v>83</v>
      </c>
      <c r="F22" s="192"/>
      <c r="G22" s="184" t="s">
        <v>469</v>
      </c>
      <c r="H22" s="184" t="s">
        <v>80</v>
      </c>
      <c r="I22" s="185" t="s">
        <v>465</v>
      </c>
      <c r="J22" s="184" t="s">
        <v>466</v>
      </c>
      <c r="K22" s="199" t="s">
        <v>66</v>
      </c>
      <c r="L22" s="179" t="s">
        <v>81</v>
      </c>
      <c r="M22" s="179" t="s">
        <v>81</v>
      </c>
      <c r="N22" s="179" t="s">
        <v>66</v>
      </c>
      <c r="O22" s="184"/>
      <c r="Q22" s="27"/>
      <c r="R22" s="27"/>
      <c r="S22" s="27"/>
      <c r="T22" s="27"/>
      <c r="U22" s="173"/>
    </row>
  </sheetData>
  <phoneticPr fontId="7"/>
  <pageMargins left="0.7" right="0.7" top="0.75" bottom="0.75" header="0.3" footer="0.3"/>
  <pageSetup paperSize="9" scale="53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484ADBD-E88F-4869-9CCA-D9F92C61B694}">
          <x14:formula1>
            <xm:f>リスト!$B$13:$B$14</xm:f>
          </x14:formula1>
          <xm:sqref>K13:L13 K17:L17 K21:N22</xm:sqref>
        </x14:dataValidation>
        <x14:dataValidation type="list" allowBlank="1" showInputMessage="1" showErrorMessage="1" xr:uid="{F69D98B9-1AF3-4AD2-A562-88DCC451F142}">
          <x14:formula1>
            <xm:f>リスト!$B$7:$B$9</xm:f>
          </x14:formula1>
          <xm:sqref>H9</xm:sqref>
        </x14:dataValidation>
        <x14:dataValidation type="list" allowBlank="1" showInputMessage="1" showErrorMessage="1" xr:uid="{B7644B29-AA28-48F8-8524-8A90AC9F01B8}">
          <x14:formula1>
            <xm:f>リスト!$M$77:$M$81</xm:f>
          </x14:formula1>
          <xm:sqref>J9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pageSetUpPr fitToPage="1"/>
  </sheetPr>
  <dimension ref="A1:DR59"/>
  <sheetViews>
    <sheetView showGridLines="0" view="pageBreakPreview" zoomScaleNormal="100" zoomScaleSheetLayoutView="100" workbookViewId="0"/>
  </sheetViews>
  <sheetFormatPr defaultColWidth="2.7109375" defaultRowHeight="12" customHeight="1"/>
  <cols>
    <col min="1" max="2" width="2.7109375" style="146"/>
    <col min="3" max="3" width="2.28515625" style="146" customWidth="1"/>
    <col min="4" max="23" width="2.7109375" style="146"/>
    <col min="24" max="24" width="3.42578125" style="146" customWidth="1"/>
    <col min="25" max="25" width="2.42578125" style="146" customWidth="1"/>
    <col min="26" max="26" width="3.140625" style="146" customWidth="1"/>
    <col min="27" max="81" width="2.7109375" style="146"/>
    <col min="82" max="82" width="9.42578125" style="21" bestFit="1" customWidth="1"/>
    <col min="83" max="83" width="13.85546875" style="146" bestFit="1" customWidth="1"/>
    <col min="84" max="85" width="13.85546875" style="146" customWidth="1"/>
    <col min="86" max="86" width="15.42578125" style="146" bestFit="1" customWidth="1"/>
    <col min="87" max="91" width="2.7109375" style="146"/>
    <col min="92" max="92" width="2.85546875" style="146" customWidth="1"/>
    <col min="93" max="16384" width="2.7109375" style="146"/>
  </cols>
  <sheetData>
    <row r="1" spans="1:122" s="23" customFormat="1" ht="15.75">
      <c r="A1" s="146"/>
      <c r="B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6"/>
      <c r="BD1" s="146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  <c r="BR1" s="146"/>
      <c r="BS1" s="146"/>
      <c r="BT1" s="146"/>
      <c r="BU1" s="146"/>
      <c r="BV1" s="146"/>
      <c r="BW1" s="146"/>
      <c r="BX1" s="146"/>
      <c r="BY1" s="146"/>
      <c r="BZ1" s="146"/>
      <c r="CA1" s="146"/>
      <c r="CB1" s="146"/>
      <c r="CC1" s="146"/>
      <c r="CD1" s="22" t="s">
        <v>40</v>
      </c>
      <c r="CE1" s="22" t="s">
        <v>41</v>
      </c>
      <c r="CF1" s="64" t="s">
        <v>42</v>
      </c>
      <c r="CG1" s="63" t="s">
        <v>43</v>
      </c>
      <c r="CH1" s="63" t="s">
        <v>44</v>
      </c>
      <c r="CI1" s="146"/>
      <c r="CJ1" s="146"/>
      <c r="CK1" s="146"/>
      <c r="CL1" s="146"/>
      <c r="CM1" s="146"/>
      <c r="CN1" s="146"/>
      <c r="CO1" s="146"/>
      <c r="CP1" s="146"/>
      <c r="CQ1" s="146"/>
      <c r="CR1" s="146"/>
      <c r="CS1" s="146"/>
      <c r="CT1" s="146"/>
      <c r="CU1" s="146"/>
      <c r="CV1" s="146"/>
      <c r="CW1" s="146"/>
      <c r="CX1" s="146"/>
      <c r="CY1" s="146"/>
      <c r="CZ1" s="146"/>
      <c r="DA1" s="146"/>
      <c r="DB1" s="146"/>
      <c r="DC1" s="146"/>
      <c r="DD1" s="146"/>
      <c r="DE1" s="11"/>
      <c r="DF1" s="11"/>
      <c r="DG1" s="11"/>
      <c r="DH1" s="146"/>
      <c r="DI1" s="146"/>
      <c r="DJ1" s="146"/>
      <c r="DK1" s="146"/>
      <c r="DL1" s="11"/>
      <c r="DM1" s="11"/>
      <c r="DN1" s="11"/>
      <c r="DO1" s="11"/>
      <c r="DP1" s="11"/>
      <c r="DQ1" s="11"/>
      <c r="DR1" s="11"/>
    </row>
    <row r="2" spans="1:122">
      <c r="CD2" s="27"/>
      <c r="CE2" s="147"/>
      <c r="CF2" s="147"/>
      <c r="CG2" s="147"/>
      <c r="CH2" s="147"/>
    </row>
    <row r="3" spans="1:122" ht="12" customHeight="1">
      <c r="B3" s="146" t="s">
        <v>474</v>
      </c>
      <c r="CD3" s="27"/>
      <c r="CE3" s="147"/>
      <c r="CF3" s="147"/>
      <c r="CG3" s="147"/>
      <c r="CH3" s="147"/>
    </row>
    <row r="4" spans="1:122" ht="12" customHeight="1">
      <c r="CD4" s="27"/>
      <c r="CE4" s="147"/>
      <c r="CF4" s="147"/>
      <c r="CG4" s="147"/>
      <c r="CH4" s="147"/>
    </row>
    <row r="5" spans="1:122" ht="12" customHeight="1">
      <c r="CD5" s="27"/>
      <c r="CE5" s="147"/>
      <c r="CF5" s="147"/>
      <c r="CG5" s="147"/>
      <c r="CH5" s="147"/>
    </row>
    <row r="6" spans="1:122" ht="12" customHeight="1">
      <c r="CD6" s="27"/>
      <c r="CE6" s="147"/>
      <c r="CF6" s="147"/>
      <c r="CG6" s="147"/>
      <c r="CH6" s="147"/>
    </row>
    <row r="7" spans="1:122" ht="12" customHeight="1">
      <c r="CD7" s="27"/>
      <c r="CE7" s="147"/>
      <c r="CF7" s="147"/>
      <c r="CG7" s="147"/>
      <c r="CH7" s="147"/>
    </row>
    <row r="8" spans="1:122" ht="12" customHeight="1">
      <c r="CD8" s="27"/>
      <c r="CE8" s="147"/>
      <c r="CF8" s="147"/>
      <c r="CG8" s="147"/>
      <c r="CH8" s="147"/>
    </row>
    <row r="9" spans="1:122" ht="12" customHeight="1">
      <c r="CD9" s="27"/>
      <c r="CE9" s="147"/>
      <c r="CF9" s="147"/>
      <c r="CG9" s="147"/>
      <c r="CH9" s="147"/>
    </row>
    <row r="10" spans="1:122" ht="12" customHeight="1">
      <c r="CD10" s="27"/>
      <c r="CE10" s="147"/>
      <c r="CF10" s="147"/>
      <c r="CG10" s="147"/>
      <c r="CH10" s="147"/>
    </row>
    <row r="11" spans="1:122" ht="12" customHeight="1">
      <c r="CD11" s="27"/>
      <c r="CE11" s="147"/>
      <c r="CF11" s="147"/>
      <c r="CG11" s="147"/>
      <c r="CH11" s="147"/>
    </row>
    <row r="12" spans="1:122" ht="12" customHeight="1">
      <c r="CD12" s="27"/>
      <c r="CE12" s="147"/>
      <c r="CF12" s="147"/>
      <c r="CG12" s="147"/>
      <c r="CH12" s="147"/>
    </row>
    <row r="13" spans="1:122" ht="12" customHeight="1">
      <c r="CD13" s="27"/>
      <c r="CE13" s="147"/>
      <c r="CF13" s="147"/>
      <c r="CG13" s="147"/>
      <c r="CH13" s="147"/>
    </row>
    <row r="14" spans="1:122" ht="12" customHeight="1">
      <c r="CD14" s="27"/>
      <c r="CE14" s="147"/>
      <c r="CF14" s="147"/>
      <c r="CG14" s="147"/>
      <c r="CH14" s="147"/>
    </row>
    <row r="15" spans="1:122" ht="12" customHeight="1">
      <c r="CD15" s="27"/>
      <c r="CE15" s="147"/>
      <c r="CF15" s="147"/>
      <c r="CG15" s="147"/>
      <c r="CH15" s="147"/>
    </row>
    <row r="16" spans="1:122" ht="12" customHeight="1">
      <c r="CD16" s="27"/>
      <c r="CE16" s="147"/>
      <c r="CF16" s="147"/>
      <c r="CG16" s="147"/>
      <c r="CH16" s="147"/>
    </row>
    <row r="17" spans="82:86" ht="12" customHeight="1">
      <c r="CD17" s="27"/>
      <c r="CE17" s="147"/>
      <c r="CF17" s="147"/>
      <c r="CG17" s="147"/>
      <c r="CH17" s="147"/>
    </row>
    <row r="18" spans="82:86" ht="12" customHeight="1">
      <c r="CD18" s="27"/>
      <c r="CE18" s="147"/>
      <c r="CF18" s="147"/>
      <c r="CG18" s="147"/>
      <c r="CH18" s="147"/>
    </row>
    <row r="19" spans="82:86" ht="12" customHeight="1">
      <c r="CD19" s="27"/>
      <c r="CE19" s="147"/>
      <c r="CF19" s="147"/>
      <c r="CG19" s="147"/>
      <c r="CH19" s="147"/>
    </row>
    <row r="20" spans="82:86" ht="12" customHeight="1">
      <c r="CD20" s="27"/>
      <c r="CE20" s="147"/>
      <c r="CF20" s="147"/>
      <c r="CG20" s="147"/>
      <c r="CH20" s="147"/>
    </row>
    <row r="21" spans="82:86">
      <c r="CD21" s="27"/>
      <c r="CE21" s="147"/>
      <c r="CF21" s="147"/>
      <c r="CG21" s="147"/>
      <c r="CH21" s="147"/>
    </row>
    <row r="22" spans="82:86">
      <c r="CD22" s="27"/>
      <c r="CE22" s="147"/>
      <c r="CF22" s="147"/>
      <c r="CG22" s="147"/>
      <c r="CH22" s="147"/>
    </row>
    <row r="23" spans="82:86">
      <c r="CD23" s="27"/>
      <c r="CE23" s="147"/>
      <c r="CF23" s="147"/>
      <c r="CG23" s="147"/>
      <c r="CH23" s="147"/>
    </row>
    <row r="24" spans="82:86">
      <c r="CD24" s="27"/>
      <c r="CE24" s="147"/>
      <c r="CF24" s="147"/>
      <c r="CG24" s="147"/>
      <c r="CH24" s="147"/>
    </row>
    <row r="25" spans="82:86">
      <c r="CD25" s="27"/>
      <c r="CE25" s="147"/>
      <c r="CF25" s="147"/>
      <c r="CG25" s="147"/>
      <c r="CH25" s="147"/>
    </row>
    <row r="26" spans="82:86">
      <c r="CD26" s="27"/>
      <c r="CE26" s="147"/>
      <c r="CF26" s="147"/>
      <c r="CG26" s="147"/>
      <c r="CH26" s="147"/>
    </row>
    <row r="27" spans="82:86">
      <c r="CD27" s="27"/>
      <c r="CE27" s="147"/>
      <c r="CF27" s="147"/>
      <c r="CG27" s="147"/>
      <c r="CH27" s="147"/>
    </row>
    <row r="28" spans="82:86">
      <c r="CD28" s="27"/>
      <c r="CE28" s="147"/>
      <c r="CF28" s="147"/>
      <c r="CG28" s="147"/>
      <c r="CH28" s="147"/>
    </row>
    <row r="29" spans="82:86">
      <c r="CD29" s="27"/>
      <c r="CE29" s="147"/>
      <c r="CF29" s="147"/>
      <c r="CG29" s="147"/>
      <c r="CH29" s="147"/>
    </row>
    <row r="30" spans="82:86">
      <c r="CD30" s="27"/>
      <c r="CE30" s="147"/>
      <c r="CF30" s="147"/>
      <c r="CG30" s="147"/>
      <c r="CH30" s="147"/>
    </row>
    <row r="31" spans="82:86">
      <c r="CD31" s="27"/>
      <c r="CE31" s="147"/>
      <c r="CF31" s="147"/>
      <c r="CG31" s="147"/>
      <c r="CH31" s="147"/>
    </row>
    <row r="32" spans="82:86">
      <c r="CD32" s="27"/>
      <c r="CE32" s="147"/>
      <c r="CF32" s="147"/>
      <c r="CG32" s="147"/>
      <c r="CH32" s="147"/>
    </row>
    <row r="33" spans="9:86">
      <c r="CD33" s="27"/>
      <c r="CE33" s="147"/>
      <c r="CF33" s="147"/>
      <c r="CG33" s="147"/>
      <c r="CH33" s="147"/>
    </row>
    <row r="34" spans="9:86">
      <c r="CD34" s="27"/>
      <c r="CE34" s="147"/>
      <c r="CF34" s="147"/>
      <c r="CG34" s="147"/>
      <c r="CH34" s="147"/>
    </row>
    <row r="35" spans="9:86">
      <c r="CD35" s="27"/>
      <c r="CE35" s="147"/>
      <c r="CF35" s="147"/>
      <c r="CG35" s="147"/>
      <c r="CH35" s="147"/>
    </row>
    <row r="36" spans="9:86">
      <c r="CD36" s="27"/>
      <c r="CE36" s="147"/>
      <c r="CF36" s="147"/>
      <c r="CG36" s="147"/>
      <c r="CH36" s="147"/>
    </row>
    <row r="37" spans="9:86">
      <c r="CD37" s="27"/>
      <c r="CE37" s="147"/>
      <c r="CF37" s="147"/>
      <c r="CG37" s="147"/>
      <c r="CH37" s="147"/>
    </row>
    <row r="38" spans="9:86">
      <c r="I38" s="49"/>
      <c r="CD38" s="27"/>
      <c r="CE38" s="147"/>
      <c r="CF38" s="147"/>
      <c r="CG38" s="147"/>
      <c r="CH38" s="147"/>
    </row>
    <row r="39" spans="9:86">
      <c r="CD39" s="27"/>
      <c r="CE39" s="147"/>
      <c r="CF39" s="147"/>
      <c r="CG39" s="147"/>
      <c r="CH39" s="147"/>
    </row>
    <row r="40" spans="9:86">
      <c r="I40" s="49"/>
      <c r="CD40" s="27"/>
      <c r="CE40" s="147"/>
      <c r="CF40" s="147"/>
      <c r="CG40" s="147"/>
      <c r="CH40" s="147"/>
    </row>
    <row r="41" spans="9:86">
      <c r="I41" s="49"/>
      <c r="CD41" s="27"/>
      <c r="CE41" s="147"/>
      <c r="CF41" s="147"/>
      <c r="CG41" s="147"/>
      <c r="CH41" s="147"/>
    </row>
    <row r="42" spans="9:86">
      <c r="I42" s="49"/>
      <c r="CD42" s="27"/>
      <c r="CE42" s="147"/>
      <c r="CF42" s="147"/>
      <c r="CG42" s="147"/>
      <c r="CH42" s="147"/>
    </row>
    <row r="43" spans="9:86">
      <c r="I43" s="49"/>
      <c r="CD43" s="27"/>
      <c r="CE43" s="147"/>
      <c r="CF43" s="147"/>
      <c r="CG43" s="147"/>
      <c r="CH43" s="147"/>
    </row>
    <row r="44" spans="9:86">
      <c r="I44" s="49"/>
      <c r="CD44" s="27"/>
      <c r="CE44" s="147"/>
      <c r="CF44" s="147"/>
      <c r="CG44" s="147"/>
      <c r="CH44" s="147"/>
    </row>
    <row r="45" spans="9:86">
      <c r="I45" s="49"/>
      <c r="CD45" s="27"/>
      <c r="CE45" s="147"/>
      <c r="CF45" s="147"/>
      <c r="CG45" s="147"/>
      <c r="CH45" s="147"/>
    </row>
    <row r="46" spans="9:86">
      <c r="I46" s="49"/>
      <c r="CD46" s="27"/>
      <c r="CE46" s="147"/>
      <c r="CF46" s="147"/>
      <c r="CG46" s="147"/>
      <c r="CH46" s="147"/>
    </row>
    <row r="47" spans="9:86">
      <c r="I47" s="49"/>
      <c r="CD47" s="27"/>
      <c r="CE47" s="147"/>
      <c r="CF47" s="147"/>
      <c r="CG47" s="147"/>
      <c r="CH47" s="147"/>
    </row>
    <row r="48" spans="9:86">
      <c r="I48" s="49"/>
      <c r="CD48" s="27"/>
      <c r="CE48" s="147"/>
      <c r="CF48" s="147"/>
      <c r="CG48" s="147"/>
      <c r="CH48" s="147"/>
    </row>
    <row r="49" spans="9:86">
      <c r="I49" s="49"/>
      <c r="CD49" s="27"/>
      <c r="CE49" s="147"/>
      <c r="CF49" s="147"/>
      <c r="CG49" s="147"/>
      <c r="CH49" s="147"/>
    </row>
    <row r="50" spans="9:86">
      <c r="I50" s="49"/>
      <c r="CD50" s="27"/>
      <c r="CE50" s="147"/>
      <c r="CF50" s="147"/>
      <c r="CG50" s="147"/>
      <c r="CH50" s="147"/>
    </row>
    <row r="51" spans="9:86" ht="12" customHeight="1">
      <c r="CD51" s="27"/>
      <c r="CE51" s="147"/>
      <c r="CF51" s="147"/>
      <c r="CG51" s="147"/>
      <c r="CH51" s="147"/>
    </row>
    <row r="52" spans="9:86" ht="12" customHeight="1">
      <c r="CD52" s="27"/>
      <c r="CE52" s="147"/>
      <c r="CF52" s="147"/>
      <c r="CG52" s="147"/>
      <c r="CH52" s="147"/>
    </row>
    <row r="53" spans="9:86" ht="12" customHeight="1">
      <c r="CD53" s="27"/>
      <c r="CE53" s="147"/>
      <c r="CF53" s="147"/>
      <c r="CG53" s="147"/>
      <c r="CH53" s="147"/>
    </row>
    <row r="54" spans="9:86" ht="12" customHeight="1">
      <c r="CD54" s="27"/>
      <c r="CE54" s="147"/>
      <c r="CF54" s="147"/>
      <c r="CG54" s="147"/>
      <c r="CH54" s="147"/>
    </row>
    <row r="55" spans="9:86" ht="12" customHeight="1">
      <c r="CD55" s="27"/>
      <c r="CE55" s="147"/>
      <c r="CF55" s="147"/>
      <c r="CG55" s="147"/>
      <c r="CH55" s="147"/>
    </row>
    <row r="56" spans="9:86" ht="12" customHeight="1">
      <c r="CD56" s="27"/>
      <c r="CE56" s="147"/>
      <c r="CF56" s="147"/>
      <c r="CG56" s="147"/>
      <c r="CH56" s="147"/>
    </row>
    <row r="57" spans="9:86" ht="12" customHeight="1">
      <c r="CD57" s="27"/>
      <c r="CE57" s="147"/>
      <c r="CF57" s="147"/>
      <c r="CG57" s="147"/>
      <c r="CH57" s="147"/>
    </row>
    <row r="58" spans="9:86" ht="12" customHeight="1">
      <c r="CD58" s="27"/>
      <c r="CE58" s="147"/>
      <c r="CF58" s="147"/>
      <c r="CG58" s="147"/>
      <c r="CH58" s="147"/>
    </row>
    <row r="59" spans="9:86" ht="12" customHeight="1">
      <c r="CD59" s="27"/>
      <c r="CE59" s="147"/>
      <c r="CF59" s="147"/>
      <c r="CG59" s="147"/>
      <c r="CH59" s="147"/>
    </row>
  </sheetData>
  <phoneticPr fontId="7"/>
  <pageMargins left="0.23622047244094491" right="0.23622047244094491" top="0.35433070866141736" bottom="0.35433070866141736" header="0.11811023622047245" footer="0.11811023622047245"/>
  <pageSetup paperSize="9" scale="64" fitToHeight="0" orientation="landscape" r:id="rId1"/>
  <headerFooter alignWithMargins="0">
    <oddFooter>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FFAF-6F61-4B29-9468-BCFDD157CD16}">
  <sheetPr codeName="Sheet9">
    <pageSetUpPr fitToPage="1"/>
  </sheetPr>
  <dimension ref="A1:AF25"/>
  <sheetViews>
    <sheetView showGridLines="0" view="pageBreakPreview" zoomScaleNormal="100" zoomScaleSheetLayoutView="100" workbookViewId="0">
      <pane xSplit="5" ySplit="3" topLeftCell="F4" activePane="bottomRight" state="frozen"/>
      <selection pane="topRight"/>
      <selection pane="bottomLeft"/>
      <selection pane="bottomRight"/>
    </sheetView>
  </sheetViews>
  <sheetFormatPr defaultColWidth="2.7109375" defaultRowHeight="12"/>
  <cols>
    <col min="1" max="1" width="2.7109375" style="209"/>
    <col min="2" max="2" width="3.7109375" style="209" customWidth="1"/>
    <col min="3" max="3" width="2.42578125" style="209" customWidth="1"/>
    <col min="4" max="4" width="20.140625" style="54" bestFit="1" customWidth="1"/>
    <col min="5" max="5" width="23.42578125" style="209" bestFit="1" customWidth="1"/>
    <col min="6" max="6" width="9.28515625" style="209" bestFit="1" customWidth="1"/>
    <col min="7" max="7" width="21.140625" style="209" customWidth="1"/>
    <col min="8" max="8" width="13" style="209" customWidth="1"/>
    <col min="9" max="9" width="11.140625" style="54" customWidth="1"/>
    <col min="10" max="10" width="34.42578125" style="54" customWidth="1"/>
    <col min="11" max="11" width="37.42578125" style="54" customWidth="1"/>
    <col min="12" max="13" width="5.140625" style="209" bestFit="1" customWidth="1"/>
    <col min="14" max="14" width="4.42578125" style="209" bestFit="1" customWidth="1"/>
    <col min="15" max="15" width="15.42578125" style="54" customWidth="1"/>
    <col min="16" max="16" width="6.7109375" style="209" bestFit="1" customWidth="1"/>
    <col min="17" max="17" width="6.7109375" style="209" customWidth="1"/>
    <col min="18" max="18" width="10.85546875" style="209" bestFit="1" customWidth="1"/>
    <col min="19" max="19" width="21.140625" style="209" bestFit="1" customWidth="1"/>
    <col min="20" max="21" width="5.140625" style="209" bestFit="1" customWidth="1"/>
    <col min="22" max="22" width="20.42578125" style="54" bestFit="1" customWidth="1"/>
    <col min="23" max="23" width="16.140625" style="209" customWidth="1"/>
    <col min="24" max="24" width="28.140625" style="54" customWidth="1"/>
    <col min="25" max="25" width="2.7109375" style="209"/>
    <col min="26" max="26" width="9.42578125" style="245" bestFit="1" customWidth="1"/>
    <col min="27" max="27" width="13.85546875" style="246" bestFit="1" customWidth="1"/>
    <col min="28" max="29" width="13.85546875" style="246" customWidth="1"/>
    <col min="30" max="30" width="15.42578125" style="246" bestFit="1" customWidth="1"/>
    <col min="31" max="32" width="16.85546875" style="209" bestFit="1" customWidth="1"/>
    <col min="33" max="16384" width="2.7109375" style="209"/>
  </cols>
  <sheetData>
    <row r="1" spans="1:32" ht="15.75">
      <c r="A1" s="207"/>
      <c r="B1" s="207"/>
      <c r="C1" s="207"/>
      <c r="D1" s="208"/>
      <c r="Z1" s="210" t="s">
        <v>40</v>
      </c>
      <c r="AA1" s="210" t="s">
        <v>41</v>
      </c>
      <c r="AB1" s="211" t="s">
        <v>42</v>
      </c>
      <c r="AC1" s="210" t="s">
        <v>43</v>
      </c>
      <c r="AD1" s="210" t="s">
        <v>44</v>
      </c>
      <c r="AE1" s="210" t="s">
        <v>84</v>
      </c>
      <c r="AF1" s="210" t="s">
        <v>85</v>
      </c>
    </row>
    <row r="2" spans="1:32" ht="15.75" customHeight="1">
      <c r="B2" s="382" t="s">
        <v>86</v>
      </c>
      <c r="C2" s="212"/>
      <c r="D2" s="389" t="s">
        <v>87</v>
      </c>
      <c r="E2" s="383" t="s">
        <v>88</v>
      </c>
      <c r="F2" s="384" t="s">
        <v>89</v>
      </c>
      <c r="G2" s="387" t="s">
        <v>90</v>
      </c>
      <c r="H2" s="385" t="s">
        <v>91</v>
      </c>
      <c r="I2" s="384" t="s">
        <v>277</v>
      </c>
      <c r="J2" s="384"/>
      <c r="K2" s="386" t="s">
        <v>92</v>
      </c>
      <c r="L2" s="384" t="s">
        <v>93</v>
      </c>
      <c r="M2" s="384"/>
      <c r="N2" s="384" t="s">
        <v>94</v>
      </c>
      <c r="O2" s="381" t="s">
        <v>95</v>
      </c>
      <c r="P2" s="381" t="s">
        <v>96</v>
      </c>
      <c r="Q2" s="381" t="s">
        <v>251</v>
      </c>
      <c r="R2" s="384" t="s">
        <v>97</v>
      </c>
      <c r="S2" s="384"/>
      <c r="T2" s="384"/>
      <c r="U2" s="384" t="s">
        <v>98</v>
      </c>
      <c r="V2" s="381" t="s">
        <v>99</v>
      </c>
      <c r="W2" s="391" t="s">
        <v>100</v>
      </c>
      <c r="X2" s="393" t="s">
        <v>101</v>
      </c>
      <c r="Z2" s="213"/>
      <c r="AA2" s="214"/>
      <c r="AB2" s="214"/>
      <c r="AC2" s="214"/>
      <c r="AD2" s="214"/>
      <c r="AE2" s="215"/>
      <c r="AF2" s="215"/>
    </row>
    <row r="3" spans="1:32">
      <c r="B3" s="382"/>
      <c r="C3" s="216"/>
      <c r="D3" s="390"/>
      <c r="E3" s="383"/>
      <c r="F3" s="384"/>
      <c r="G3" s="388"/>
      <c r="H3" s="385"/>
      <c r="I3" s="217" t="s">
        <v>128</v>
      </c>
      <c r="J3" s="217" t="s">
        <v>102</v>
      </c>
      <c r="K3" s="386"/>
      <c r="L3" s="218" t="s">
        <v>103</v>
      </c>
      <c r="M3" s="218" t="s">
        <v>104</v>
      </c>
      <c r="N3" s="384"/>
      <c r="O3" s="381"/>
      <c r="P3" s="381"/>
      <c r="Q3" s="381"/>
      <c r="R3" s="218" t="s">
        <v>105</v>
      </c>
      <c r="S3" s="218" t="s">
        <v>250</v>
      </c>
      <c r="T3" s="218" t="s">
        <v>106</v>
      </c>
      <c r="U3" s="384"/>
      <c r="V3" s="381"/>
      <c r="W3" s="392"/>
      <c r="X3" s="394"/>
      <c r="Z3" s="219"/>
      <c r="AA3" s="214"/>
      <c r="AB3" s="214"/>
      <c r="AC3" s="214"/>
      <c r="AD3" s="214"/>
      <c r="AE3" s="215"/>
      <c r="AF3" s="215"/>
    </row>
    <row r="4" spans="1:32">
      <c r="B4" s="220">
        <f t="shared" ref="B4:B25" si="0">ROW()-3</f>
        <v>1</v>
      </c>
      <c r="C4" s="221" t="s">
        <v>267</v>
      </c>
      <c r="D4" s="222"/>
      <c r="E4" s="223"/>
      <c r="F4" s="224"/>
      <c r="G4" s="225"/>
      <c r="H4" s="225"/>
      <c r="I4" s="226"/>
      <c r="J4" s="227"/>
      <c r="K4" s="228"/>
      <c r="L4" s="225"/>
      <c r="M4" s="225"/>
      <c r="N4" s="225"/>
      <c r="O4" s="229"/>
      <c r="P4" s="230"/>
      <c r="Q4" s="230"/>
      <c r="R4" s="230"/>
      <c r="S4" s="230"/>
      <c r="T4" s="230"/>
      <c r="U4" s="230"/>
      <c r="V4" s="226"/>
      <c r="W4" s="231"/>
      <c r="X4" s="227"/>
      <c r="Y4" s="232"/>
      <c r="Z4" s="219"/>
      <c r="AA4" s="214"/>
      <c r="AB4" s="214"/>
      <c r="AC4" s="214"/>
      <c r="AD4" s="214"/>
      <c r="AE4" s="215"/>
      <c r="AF4" s="215"/>
    </row>
    <row r="5" spans="1:32">
      <c r="B5" s="220">
        <f t="shared" si="0"/>
        <v>2</v>
      </c>
      <c r="C5" s="233"/>
      <c r="D5" s="234" t="s">
        <v>107</v>
      </c>
      <c r="E5" s="235" t="s">
        <v>266</v>
      </c>
      <c r="F5" s="282" t="s">
        <v>66</v>
      </c>
      <c r="G5" s="206" t="s">
        <v>66</v>
      </c>
      <c r="H5" s="206" t="s">
        <v>108</v>
      </c>
      <c r="I5" s="236" t="s">
        <v>66</v>
      </c>
      <c r="J5" s="234" t="s">
        <v>66</v>
      </c>
      <c r="K5" s="235" t="s">
        <v>66</v>
      </c>
      <c r="L5" s="215" t="s">
        <v>109</v>
      </c>
      <c r="M5" s="215" t="s">
        <v>110</v>
      </c>
      <c r="N5" s="206" t="s">
        <v>111</v>
      </c>
      <c r="O5" s="237" t="s">
        <v>112</v>
      </c>
      <c r="P5" s="215"/>
      <c r="Q5" s="215"/>
      <c r="R5" s="215"/>
      <c r="S5" s="215"/>
      <c r="T5" s="215"/>
      <c r="U5" s="238"/>
      <c r="V5" s="236"/>
      <c r="W5" s="236"/>
      <c r="X5" s="234"/>
      <c r="Y5" s="232"/>
      <c r="Z5" s="219"/>
      <c r="AA5" s="214"/>
      <c r="AB5" s="214"/>
      <c r="AC5" s="214"/>
      <c r="AD5" s="214"/>
      <c r="AE5" s="215"/>
      <c r="AF5" s="215"/>
    </row>
    <row r="6" spans="1:32">
      <c r="B6" s="220">
        <f t="shared" si="0"/>
        <v>3</v>
      </c>
      <c r="C6" s="221" t="s">
        <v>268</v>
      </c>
      <c r="D6" s="222"/>
      <c r="E6" s="223"/>
      <c r="F6" s="224"/>
      <c r="G6" s="225"/>
      <c r="H6" s="225"/>
      <c r="I6" s="226"/>
      <c r="J6" s="227"/>
      <c r="K6" s="228"/>
      <c r="L6" s="225"/>
      <c r="M6" s="225"/>
      <c r="N6" s="225"/>
      <c r="O6" s="229"/>
      <c r="P6" s="230"/>
      <c r="Q6" s="230"/>
      <c r="R6" s="230"/>
      <c r="S6" s="230"/>
      <c r="T6" s="230"/>
      <c r="U6" s="230"/>
      <c r="V6" s="226"/>
      <c r="W6" s="231"/>
      <c r="X6" s="227"/>
      <c r="Y6" s="232"/>
      <c r="Z6" s="219"/>
      <c r="AA6" s="214"/>
      <c r="AB6" s="214"/>
      <c r="AC6" s="214"/>
      <c r="AD6" s="214"/>
      <c r="AE6" s="215"/>
      <c r="AF6" s="215"/>
    </row>
    <row r="7" spans="1:32">
      <c r="B7" s="220">
        <f t="shared" si="0"/>
        <v>4</v>
      </c>
      <c r="C7" s="233"/>
      <c r="D7" s="234" t="s">
        <v>274</v>
      </c>
      <c r="E7" s="239" t="s">
        <v>274</v>
      </c>
      <c r="F7" s="282" t="s">
        <v>276</v>
      </c>
      <c r="G7" s="206" t="s">
        <v>66</v>
      </c>
      <c r="H7" s="206" t="s">
        <v>113</v>
      </c>
      <c r="I7" s="236" t="s">
        <v>120</v>
      </c>
      <c r="J7" s="234" t="s">
        <v>66</v>
      </c>
      <c r="K7" s="240" t="s">
        <v>66</v>
      </c>
      <c r="L7" s="215" t="s">
        <v>109</v>
      </c>
      <c r="M7" s="215" t="s">
        <v>109</v>
      </c>
      <c r="N7" s="206" t="s">
        <v>114</v>
      </c>
      <c r="O7" s="237" t="s">
        <v>112</v>
      </c>
      <c r="P7" s="215"/>
      <c r="Q7" s="215"/>
      <c r="R7" s="215"/>
      <c r="S7" s="215"/>
      <c r="T7" s="215"/>
      <c r="U7" s="238" t="s">
        <v>81</v>
      </c>
      <c r="V7" s="236"/>
      <c r="W7" s="271" t="s">
        <v>66</v>
      </c>
      <c r="X7" s="234"/>
      <c r="Y7" s="232"/>
      <c r="Z7" s="219"/>
      <c r="AA7" s="214"/>
      <c r="AB7" s="214"/>
      <c r="AC7" s="214"/>
      <c r="AD7" s="214"/>
      <c r="AE7" s="215"/>
      <c r="AF7" s="215"/>
    </row>
    <row r="8" spans="1:32">
      <c r="B8" s="220">
        <f t="shared" si="0"/>
        <v>5</v>
      </c>
      <c r="C8" s="221" t="s">
        <v>269</v>
      </c>
      <c r="D8" s="222"/>
      <c r="E8" s="223"/>
      <c r="F8" s="224"/>
      <c r="G8" s="225"/>
      <c r="H8" s="225" t="s">
        <v>117</v>
      </c>
      <c r="I8" s="226"/>
      <c r="J8" s="227"/>
      <c r="K8" s="228"/>
      <c r="L8" s="225"/>
      <c r="M8" s="225"/>
      <c r="N8" s="225"/>
      <c r="O8" s="229"/>
      <c r="P8" s="230"/>
      <c r="Q8" s="230"/>
      <c r="R8" s="230"/>
      <c r="S8" s="230"/>
      <c r="T8" s="230"/>
      <c r="U8" s="230"/>
      <c r="V8" s="226"/>
      <c r="W8" s="231"/>
      <c r="X8" s="227"/>
      <c r="Y8" s="232"/>
      <c r="Z8" s="219"/>
      <c r="AA8" s="214"/>
      <c r="AB8" s="214"/>
      <c r="AC8" s="214"/>
      <c r="AD8" s="214"/>
      <c r="AE8" s="215"/>
      <c r="AF8" s="215"/>
    </row>
    <row r="9" spans="1:32" ht="36">
      <c r="B9" s="220">
        <f t="shared" si="0"/>
        <v>6</v>
      </c>
      <c r="C9" s="244"/>
      <c r="D9" s="272" t="s">
        <v>270</v>
      </c>
      <c r="E9" s="273"/>
      <c r="F9" s="274" t="s">
        <v>275</v>
      </c>
      <c r="G9" s="274"/>
      <c r="H9" s="206" t="s">
        <v>113</v>
      </c>
      <c r="I9" s="275" t="s">
        <v>56</v>
      </c>
      <c r="J9" s="283" t="s">
        <v>66</v>
      </c>
      <c r="K9" s="277" t="s">
        <v>478</v>
      </c>
      <c r="L9" s="274" t="s">
        <v>109</v>
      </c>
      <c r="M9" s="274" t="s">
        <v>109</v>
      </c>
      <c r="N9" s="274"/>
      <c r="O9" s="278" t="s">
        <v>66</v>
      </c>
      <c r="P9" s="279"/>
      <c r="Q9" s="279"/>
      <c r="R9" s="279"/>
      <c r="S9" s="279"/>
      <c r="T9" s="279"/>
      <c r="U9" s="279" t="s">
        <v>116</v>
      </c>
      <c r="V9" s="275"/>
      <c r="W9" s="280"/>
      <c r="X9" s="276"/>
      <c r="Y9" s="232"/>
      <c r="Z9" s="219"/>
      <c r="AA9" s="214"/>
      <c r="AB9" s="214"/>
      <c r="AC9" s="214"/>
      <c r="AD9" s="214"/>
      <c r="AE9" s="215"/>
      <c r="AF9" s="215"/>
    </row>
    <row r="10" spans="1:32" ht="24.75" customHeight="1">
      <c r="B10" s="220">
        <f t="shared" si="0"/>
        <v>7</v>
      </c>
      <c r="C10" s="244"/>
      <c r="D10" s="272" t="s">
        <v>271</v>
      </c>
      <c r="E10" s="273"/>
      <c r="F10" s="274" t="s">
        <v>275</v>
      </c>
      <c r="G10" s="274"/>
      <c r="H10" s="206" t="s">
        <v>113</v>
      </c>
      <c r="I10" s="275" t="s">
        <v>58</v>
      </c>
      <c r="J10" s="283" t="s">
        <v>66</v>
      </c>
      <c r="K10" s="277" t="s">
        <v>479</v>
      </c>
      <c r="L10" s="274" t="s">
        <v>109</v>
      </c>
      <c r="M10" s="274" t="s">
        <v>109</v>
      </c>
      <c r="N10" s="274"/>
      <c r="O10" s="278" t="s">
        <v>66</v>
      </c>
      <c r="P10" s="279"/>
      <c r="Q10" s="279"/>
      <c r="R10" s="279"/>
      <c r="S10" s="279"/>
      <c r="T10" s="279"/>
      <c r="U10" s="279" t="s">
        <v>116</v>
      </c>
      <c r="V10" s="275"/>
      <c r="W10" s="280"/>
      <c r="X10" s="276"/>
      <c r="Y10" s="232"/>
      <c r="Z10" s="219"/>
      <c r="AA10" s="214"/>
      <c r="AB10" s="214"/>
      <c r="AC10" s="214"/>
      <c r="AD10" s="214"/>
      <c r="AE10" s="215"/>
      <c r="AF10" s="215"/>
    </row>
    <row r="11" spans="1:32" ht="24">
      <c r="B11" s="220">
        <f t="shared" si="0"/>
        <v>8</v>
      </c>
      <c r="C11" s="244"/>
      <c r="D11" s="272" t="s">
        <v>272</v>
      </c>
      <c r="E11" s="273"/>
      <c r="F11" s="274" t="s">
        <v>275</v>
      </c>
      <c r="G11" s="274"/>
      <c r="H11" s="206" t="s">
        <v>113</v>
      </c>
      <c r="I11" s="275" t="s">
        <v>134</v>
      </c>
      <c r="J11" s="283" t="s">
        <v>66</v>
      </c>
      <c r="K11" s="277" t="s">
        <v>480</v>
      </c>
      <c r="L11" s="274" t="s">
        <v>109</v>
      </c>
      <c r="M11" s="274" t="s">
        <v>109</v>
      </c>
      <c r="N11" s="274"/>
      <c r="O11" s="278" t="s">
        <v>66</v>
      </c>
      <c r="P11" s="279"/>
      <c r="Q11" s="279"/>
      <c r="R11" s="279"/>
      <c r="S11" s="279"/>
      <c r="T11" s="279"/>
      <c r="U11" s="279" t="s">
        <v>116</v>
      </c>
      <c r="V11" s="275"/>
      <c r="W11" s="280"/>
      <c r="X11" s="276"/>
      <c r="Y11" s="232"/>
      <c r="Z11" s="219"/>
      <c r="AA11" s="214"/>
      <c r="AB11" s="214"/>
      <c r="AC11" s="214"/>
      <c r="AD11" s="214"/>
      <c r="AE11" s="215"/>
      <c r="AF11" s="215"/>
    </row>
    <row r="12" spans="1:32">
      <c r="B12" s="220">
        <f t="shared" si="0"/>
        <v>9</v>
      </c>
      <c r="C12" s="244"/>
      <c r="D12" s="272" t="s">
        <v>273</v>
      </c>
      <c r="E12" s="273"/>
      <c r="F12" s="274" t="s">
        <v>275</v>
      </c>
      <c r="G12" s="274"/>
      <c r="H12" s="206" t="s">
        <v>113</v>
      </c>
      <c r="I12" s="275" t="s">
        <v>135</v>
      </c>
      <c r="J12" s="283" t="s">
        <v>66</v>
      </c>
      <c r="K12" s="277"/>
      <c r="L12" s="274" t="s">
        <v>109</v>
      </c>
      <c r="M12" s="274" t="s">
        <v>109</v>
      </c>
      <c r="N12" s="274"/>
      <c r="O12" s="278" t="s">
        <v>66</v>
      </c>
      <c r="P12" s="279"/>
      <c r="Q12" s="279"/>
      <c r="R12" s="279"/>
      <c r="S12" s="279"/>
      <c r="T12" s="279"/>
      <c r="U12" s="279" t="s">
        <v>81</v>
      </c>
      <c r="V12" s="275"/>
      <c r="W12" s="280"/>
      <c r="X12" s="276"/>
      <c r="Y12" s="232"/>
      <c r="Z12" s="219"/>
      <c r="AA12" s="214"/>
      <c r="AB12" s="214"/>
      <c r="AC12" s="214"/>
      <c r="AD12" s="214"/>
      <c r="AE12" s="215"/>
      <c r="AF12" s="215"/>
    </row>
    <row r="13" spans="1:32">
      <c r="B13" s="220">
        <f t="shared" si="0"/>
        <v>10</v>
      </c>
      <c r="C13" s="233"/>
      <c r="D13" s="276" t="s">
        <v>107</v>
      </c>
      <c r="E13" s="273" t="s">
        <v>269</v>
      </c>
      <c r="F13" s="367" t="s">
        <v>66</v>
      </c>
      <c r="G13" s="367" t="s">
        <v>66</v>
      </c>
      <c r="H13" s="274" t="s">
        <v>108</v>
      </c>
      <c r="I13" s="275"/>
      <c r="J13" s="276"/>
      <c r="K13" s="275"/>
      <c r="L13" s="279" t="s">
        <v>109</v>
      </c>
      <c r="M13" s="279" t="s">
        <v>109</v>
      </c>
      <c r="N13" s="279" t="s">
        <v>66</v>
      </c>
      <c r="O13" s="278" t="s">
        <v>66</v>
      </c>
      <c r="P13" s="279"/>
      <c r="Q13" s="279"/>
      <c r="R13" s="279"/>
      <c r="S13" s="279"/>
      <c r="T13" s="279"/>
      <c r="U13" s="281"/>
      <c r="V13" s="275"/>
      <c r="W13" s="275"/>
      <c r="X13" s="276"/>
      <c r="Y13" s="232"/>
      <c r="Z13" s="219"/>
      <c r="AA13" s="214"/>
      <c r="AB13" s="214"/>
      <c r="AC13" s="214"/>
      <c r="AD13" s="214"/>
      <c r="AE13" s="215"/>
      <c r="AF13" s="215"/>
    </row>
    <row r="14" spans="1:32">
      <c r="B14" s="220">
        <f t="shared" si="0"/>
        <v>11</v>
      </c>
      <c r="C14" s="233"/>
      <c r="D14" s="247" t="s">
        <v>278</v>
      </c>
      <c r="E14" s="239" t="s">
        <v>278</v>
      </c>
      <c r="F14" s="206" t="s">
        <v>66</v>
      </c>
      <c r="G14" s="206" t="s">
        <v>66</v>
      </c>
      <c r="H14" s="206" t="s">
        <v>108</v>
      </c>
      <c r="I14" s="236"/>
      <c r="J14" s="234"/>
      <c r="K14" s="235"/>
      <c r="L14" s="215" t="s">
        <v>109</v>
      </c>
      <c r="M14" s="215" t="s">
        <v>109</v>
      </c>
      <c r="N14" s="206" t="s">
        <v>66</v>
      </c>
      <c r="O14" s="278" t="s">
        <v>66</v>
      </c>
      <c r="P14" s="215" t="s">
        <v>66</v>
      </c>
      <c r="Q14" s="215" t="s">
        <v>66</v>
      </c>
      <c r="R14" s="215" t="s">
        <v>66</v>
      </c>
      <c r="S14" s="215" t="s">
        <v>66</v>
      </c>
      <c r="T14" s="215" t="s">
        <v>66</v>
      </c>
      <c r="U14" s="238" t="s">
        <v>66</v>
      </c>
      <c r="V14" s="236" t="s">
        <v>66</v>
      </c>
      <c r="W14" s="236" t="s">
        <v>66</v>
      </c>
      <c r="X14" s="234"/>
      <c r="Y14" s="232"/>
      <c r="Z14" s="219"/>
      <c r="AA14" s="214"/>
      <c r="AB14" s="214"/>
      <c r="AC14" s="214"/>
      <c r="AD14" s="214"/>
      <c r="AE14" s="215"/>
      <c r="AF14" s="215"/>
    </row>
    <row r="15" spans="1:32">
      <c r="B15" s="220">
        <f t="shared" si="0"/>
        <v>12</v>
      </c>
      <c r="C15" s="233"/>
      <c r="D15" s="243"/>
      <c r="E15" s="239"/>
      <c r="F15" s="206" t="s">
        <v>66</v>
      </c>
      <c r="G15" s="206" t="s">
        <v>66</v>
      </c>
      <c r="H15" s="206" t="s">
        <v>119</v>
      </c>
      <c r="I15" s="236" t="s">
        <v>56</v>
      </c>
      <c r="J15" s="234" t="s">
        <v>286</v>
      </c>
      <c r="K15" s="235"/>
      <c r="L15" s="215" t="s">
        <v>109</v>
      </c>
      <c r="M15" s="215" t="s">
        <v>109</v>
      </c>
      <c r="N15" s="206" t="s">
        <v>111</v>
      </c>
      <c r="O15" s="278" t="s">
        <v>66</v>
      </c>
      <c r="P15" s="215" t="s">
        <v>66</v>
      </c>
      <c r="Q15" s="215" t="s">
        <v>66</v>
      </c>
      <c r="R15" s="215" t="s">
        <v>66</v>
      </c>
      <c r="S15" s="215" t="s">
        <v>66</v>
      </c>
      <c r="T15" s="215" t="s">
        <v>66</v>
      </c>
      <c r="U15" s="238" t="s">
        <v>66</v>
      </c>
      <c r="V15" s="236" t="s">
        <v>66</v>
      </c>
      <c r="W15" s="236" t="s">
        <v>66</v>
      </c>
      <c r="X15" s="234"/>
      <c r="Y15" s="232"/>
      <c r="Z15" s="219"/>
      <c r="AA15" s="214"/>
      <c r="AB15" s="214"/>
      <c r="AC15" s="214"/>
      <c r="AD15" s="214"/>
      <c r="AE15" s="215"/>
      <c r="AF15" s="215"/>
    </row>
    <row r="16" spans="1:32">
      <c r="B16" s="220">
        <f t="shared" si="0"/>
        <v>13</v>
      </c>
      <c r="C16" s="233"/>
      <c r="D16" s="247" t="s">
        <v>122</v>
      </c>
      <c r="E16" s="239" t="s">
        <v>122</v>
      </c>
      <c r="F16" s="206" t="s">
        <v>66</v>
      </c>
      <c r="G16" s="206" t="s">
        <v>66</v>
      </c>
      <c r="H16" s="206" t="s">
        <v>108</v>
      </c>
      <c r="I16" s="236"/>
      <c r="J16" s="234"/>
      <c r="K16" s="235"/>
      <c r="L16" s="215" t="s">
        <v>109</v>
      </c>
      <c r="M16" s="215" t="s">
        <v>109</v>
      </c>
      <c r="N16" s="206" t="s">
        <v>66</v>
      </c>
      <c r="O16" s="278" t="s">
        <v>66</v>
      </c>
      <c r="P16" s="215" t="s">
        <v>66</v>
      </c>
      <c r="Q16" s="215" t="s">
        <v>66</v>
      </c>
      <c r="R16" s="215" t="s">
        <v>66</v>
      </c>
      <c r="S16" s="215" t="s">
        <v>66</v>
      </c>
      <c r="T16" s="215" t="s">
        <v>66</v>
      </c>
      <c r="U16" s="238" t="s">
        <v>66</v>
      </c>
      <c r="V16" s="236" t="s">
        <v>66</v>
      </c>
      <c r="W16" s="236" t="s">
        <v>66</v>
      </c>
      <c r="X16" s="234"/>
      <c r="Y16" s="232"/>
      <c r="Z16" s="219"/>
      <c r="AA16" s="214"/>
      <c r="AB16" s="214"/>
      <c r="AC16" s="214"/>
      <c r="AD16" s="214"/>
      <c r="AE16" s="215"/>
      <c r="AF16" s="215"/>
    </row>
    <row r="17" spans="2:32">
      <c r="B17" s="220">
        <f t="shared" si="0"/>
        <v>14</v>
      </c>
      <c r="C17" s="233"/>
      <c r="D17" s="243"/>
      <c r="E17" s="239"/>
      <c r="F17" s="206" t="s">
        <v>66</v>
      </c>
      <c r="G17" s="206" t="s">
        <v>66</v>
      </c>
      <c r="H17" s="206" t="s">
        <v>119</v>
      </c>
      <c r="I17" s="236" t="s">
        <v>56</v>
      </c>
      <c r="J17" s="234" t="s">
        <v>282</v>
      </c>
      <c r="K17" s="235"/>
      <c r="L17" s="215" t="s">
        <v>109</v>
      </c>
      <c r="M17" s="215" t="s">
        <v>110</v>
      </c>
      <c r="N17" s="206" t="s">
        <v>111</v>
      </c>
      <c r="O17" s="278" t="s">
        <v>66</v>
      </c>
      <c r="P17" s="215" t="s">
        <v>66</v>
      </c>
      <c r="Q17" s="215" t="s">
        <v>66</v>
      </c>
      <c r="R17" s="215" t="s">
        <v>66</v>
      </c>
      <c r="S17" s="215" t="s">
        <v>66</v>
      </c>
      <c r="T17" s="215" t="s">
        <v>66</v>
      </c>
      <c r="U17" s="238" t="s">
        <v>66</v>
      </c>
      <c r="V17" s="236" t="s">
        <v>66</v>
      </c>
      <c r="W17" s="236" t="s">
        <v>66</v>
      </c>
      <c r="X17" s="234"/>
      <c r="Y17" s="232"/>
      <c r="Z17" s="219"/>
      <c r="AA17" s="214"/>
      <c r="AB17" s="214"/>
      <c r="AC17" s="214"/>
      <c r="AD17" s="214"/>
      <c r="AE17" s="215"/>
      <c r="AF17" s="215"/>
    </row>
    <row r="18" spans="2:32">
      <c r="B18" s="220">
        <f t="shared" si="0"/>
        <v>15</v>
      </c>
      <c r="C18" s="233"/>
      <c r="D18" s="247" t="s">
        <v>279</v>
      </c>
      <c r="E18" s="239" t="s">
        <v>279</v>
      </c>
      <c r="F18" s="206" t="s">
        <v>66</v>
      </c>
      <c r="G18" s="206" t="s">
        <v>66</v>
      </c>
      <c r="H18" s="206" t="s">
        <v>108</v>
      </c>
      <c r="I18" s="236"/>
      <c r="J18" s="234"/>
      <c r="K18" s="235"/>
      <c r="L18" s="215" t="s">
        <v>109</v>
      </c>
      <c r="M18" s="215" t="s">
        <v>109</v>
      </c>
      <c r="N18" s="206" t="s">
        <v>66</v>
      </c>
      <c r="O18" s="278" t="s">
        <v>66</v>
      </c>
      <c r="P18" s="215" t="s">
        <v>66</v>
      </c>
      <c r="Q18" s="215" t="s">
        <v>66</v>
      </c>
      <c r="R18" s="215" t="s">
        <v>66</v>
      </c>
      <c r="S18" s="215" t="s">
        <v>66</v>
      </c>
      <c r="T18" s="215" t="s">
        <v>66</v>
      </c>
      <c r="U18" s="238" t="s">
        <v>66</v>
      </c>
      <c r="V18" s="236" t="s">
        <v>66</v>
      </c>
      <c r="W18" s="236" t="s">
        <v>66</v>
      </c>
      <c r="X18" s="234"/>
      <c r="Y18" s="232"/>
      <c r="Z18" s="219"/>
      <c r="AA18" s="214"/>
      <c r="AB18" s="214"/>
      <c r="AC18" s="214"/>
      <c r="AD18" s="214"/>
      <c r="AE18" s="215"/>
      <c r="AF18" s="215"/>
    </row>
    <row r="19" spans="2:32">
      <c r="B19" s="220">
        <f t="shared" si="0"/>
        <v>16</v>
      </c>
      <c r="C19" s="233"/>
      <c r="D19" s="243"/>
      <c r="E19" s="239"/>
      <c r="F19" s="206" t="s">
        <v>66</v>
      </c>
      <c r="G19" s="206" t="s">
        <v>66</v>
      </c>
      <c r="H19" s="206" t="s">
        <v>119</v>
      </c>
      <c r="I19" s="236" t="s">
        <v>56</v>
      </c>
      <c r="J19" s="234" t="s">
        <v>285</v>
      </c>
      <c r="K19" s="235"/>
      <c r="L19" s="215" t="s">
        <v>109</v>
      </c>
      <c r="M19" s="215" t="s">
        <v>110</v>
      </c>
      <c r="N19" s="206" t="s">
        <v>111</v>
      </c>
      <c r="O19" s="278" t="s">
        <v>287</v>
      </c>
      <c r="P19" s="215" t="s">
        <v>66</v>
      </c>
      <c r="Q19" s="215" t="s">
        <v>66</v>
      </c>
      <c r="R19" s="215" t="s">
        <v>66</v>
      </c>
      <c r="S19" s="215" t="s">
        <v>66</v>
      </c>
      <c r="T19" s="215" t="s">
        <v>66</v>
      </c>
      <c r="U19" s="238" t="s">
        <v>66</v>
      </c>
      <c r="V19" s="236" t="s">
        <v>66</v>
      </c>
      <c r="W19" s="236" t="s">
        <v>66</v>
      </c>
      <c r="X19" s="234"/>
      <c r="Y19" s="232"/>
      <c r="Z19" s="219"/>
      <c r="AA19" s="214"/>
      <c r="AB19" s="214"/>
      <c r="AC19" s="214"/>
      <c r="AD19" s="214"/>
      <c r="AE19" s="215"/>
      <c r="AF19" s="215"/>
    </row>
    <row r="20" spans="2:32">
      <c r="B20" s="220">
        <f t="shared" si="0"/>
        <v>17</v>
      </c>
      <c r="C20" s="233"/>
      <c r="D20" s="247" t="s">
        <v>280</v>
      </c>
      <c r="E20" s="239" t="s">
        <v>280</v>
      </c>
      <c r="F20" s="206" t="s">
        <v>66</v>
      </c>
      <c r="G20" s="206" t="s">
        <v>66</v>
      </c>
      <c r="H20" s="206" t="s">
        <v>108</v>
      </c>
      <c r="I20" s="236"/>
      <c r="J20" s="234"/>
      <c r="K20" s="235"/>
      <c r="L20" s="215" t="s">
        <v>109</v>
      </c>
      <c r="M20" s="215" t="s">
        <v>109</v>
      </c>
      <c r="N20" s="206" t="s">
        <v>66</v>
      </c>
      <c r="O20" s="278" t="s">
        <v>66</v>
      </c>
      <c r="P20" s="215" t="s">
        <v>66</v>
      </c>
      <c r="Q20" s="215" t="s">
        <v>66</v>
      </c>
      <c r="R20" s="215" t="s">
        <v>66</v>
      </c>
      <c r="S20" s="242" t="s">
        <v>66</v>
      </c>
      <c r="T20" s="215" t="s">
        <v>66</v>
      </c>
      <c r="U20" s="238" t="s">
        <v>66</v>
      </c>
      <c r="V20" s="236" t="s">
        <v>66</v>
      </c>
      <c r="W20" s="236" t="s">
        <v>66</v>
      </c>
      <c r="X20" s="234"/>
      <c r="Y20" s="232"/>
      <c r="Z20" s="219"/>
      <c r="AA20" s="214"/>
      <c r="AB20" s="214"/>
      <c r="AC20" s="214"/>
      <c r="AD20" s="214"/>
      <c r="AE20" s="215"/>
      <c r="AF20" s="215"/>
    </row>
    <row r="21" spans="2:32">
      <c r="B21" s="220">
        <f t="shared" si="0"/>
        <v>18</v>
      </c>
      <c r="C21" s="233"/>
      <c r="D21" s="243"/>
      <c r="E21" s="239"/>
      <c r="F21" s="206" t="s">
        <v>66</v>
      </c>
      <c r="G21" s="206" t="s">
        <v>66</v>
      </c>
      <c r="H21" s="206" t="s">
        <v>119</v>
      </c>
      <c r="I21" s="236" t="s">
        <v>56</v>
      </c>
      <c r="J21" s="234" t="s">
        <v>284</v>
      </c>
      <c r="K21" s="235"/>
      <c r="L21" s="215" t="s">
        <v>109</v>
      </c>
      <c r="M21" s="215" t="s">
        <v>110</v>
      </c>
      <c r="N21" s="206" t="s">
        <v>111</v>
      </c>
      <c r="O21" s="278" t="s">
        <v>66</v>
      </c>
      <c r="P21" s="215" t="s">
        <v>66</v>
      </c>
      <c r="Q21" s="215" t="s">
        <v>66</v>
      </c>
      <c r="R21" s="215" t="s">
        <v>66</v>
      </c>
      <c r="S21" s="242" t="s">
        <v>66</v>
      </c>
      <c r="T21" s="215" t="s">
        <v>66</v>
      </c>
      <c r="U21" s="238" t="s">
        <v>66</v>
      </c>
      <c r="V21" s="236" t="s">
        <v>66</v>
      </c>
      <c r="W21" s="236" t="s">
        <v>66</v>
      </c>
      <c r="X21" s="234"/>
      <c r="Y21" s="232"/>
      <c r="Z21" s="219"/>
      <c r="AA21" s="214"/>
      <c r="AB21" s="214"/>
      <c r="AC21" s="214"/>
      <c r="AD21" s="214"/>
      <c r="AE21" s="215"/>
      <c r="AF21" s="215"/>
    </row>
    <row r="22" spans="2:32">
      <c r="B22" s="220">
        <f t="shared" si="0"/>
        <v>19</v>
      </c>
      <c r="C22" s="233"/>
      <c r="D22" s="247" t="s">
        <v>281</v>
      </c>
      <c r="E22" s="239" t="s">
        <v>281</v>
      </c>
      <c r="F22" s="206" t="s">
        <v>66</v>
      </c>
      <c r="G22" s="206" t="s">
        <v>66</v>
      </c>
      <c r="H22" s="206" t="s">
        <v>108</v>
      </c>
      <c r="I22" s="236"/>
      <c r="J22" s="234"/>
      <c r="K22" s="235" t="s">
        <v>290</v>
      </c>
      <c r="L22" s="215" t="s">
        <v>109</v>
      </c>
      <c r="M22" s="215" t="s">
        <v>109</v>
      </c>
      <c r="N22" s="206" t="s">
        <v>66</v>
      </c>
      <c r="O22" s="241" t="s">
        <v>66</v>
      </c>
      <c r="P22" s="215" t="s">
        <v>66</v>
      </c>
      <c r="Q22" s="215" t="s">
        <v>66</v>
      </c>
      <c r="R22" s="215" t="s">
        <v>66</v>
      </c>
      <c r="S22" s="215" t="s">
        <v>66</v>
      </c>
      <c r="T22" s="215" t="s">
        <v>66</v>
      </c>
      <c r="U22" s="238" t="s">
        <v>66</v>
      </c>
      <c r="V22" s="236" t="s">
        <v>66</v>
      </c>
      <c r="W22" s="236" t="s">
        <v>66</v>
      </c>
      <c r="X22" s="234"/>
      <c r="Y22" s="232"/>
      <c r="Z22" s="219"/>
      <c r="AA22" s="214"/>
      <c r="AB22" s="214"/>
      <c r="AC22" s="214"/>
      <c r="AD22" s="214"/>
      <c r="AE22" s="215"/>
      <c r="AF22" s="215"/>
    </row>
    <row r="23" spans="2:32" ht="48">
      <c r="B23" s="220">
        <f t="shared" si="0"/>
        <v>20</v>
      </c>
      <c r="C23" s="233"/>
      <c r="D23" s="243"/>
      <c r="E23" s="239"/>
      <c r="F23" s="206" t="s">
        <v>66</v>
      </c>
      <c r="G23" s="206" t="s">
        <v>66</v>
      </c>
      <c r="H23" s="206" t="s">
        <v>119</v>
      </c>
      <c r="I23" s="236" t="s">
        <v>56</v>
      </c>
      <c r="J23" s="234" t="s">
        <v>283</v>
      </c>
      <c r="K23" s="235" t="s">
        <v>475</v>
      </c>
      <c r="L23" s="215" t="s">
        <v>109</v>
      </c>
      <c r="M23" s="215" t="s">
        <v>110</v>
      </c>
      <c r="N23" s="206" t="s">
        <v>111</v>
      </c>
      <c r="O23" s="248" t="s">
        <v>66</v>
      </c>
      <c r="P23" s="215" t="s">
        <v>66</v>
      </c>
      <c r="Q23" s="215" t="s">
        <v>66</v>
      </c>
      <c r="R23" s="215" t="s">
        <v>66</v>
      </c>
      <c r="S23" s="215" t="s">
        <v>66</v>
      </c>
      <c r="T23" s="215" t="s">
        <v>66</v>
      </c>
      <c r="U23" s="238" t="s">
        <v>66</v>
      </c>
      <c r="V23" s="236" t="s">
        <v>66</v>
      </c>
      <c r="W23" s="236" t="s">
        <v>66</v>
      </c>
      <c r="X23" s="234"/>
      <c r="Y23" s="232"/>
      <c r="Z23" s="219"/>
      <c r="AA23" s="214"/>
      <c r="AB23" s="214"/>
      <c r="AC23" s="214"/>
      <c r="AD23" s="214"/>
      <c r="AE23" s="215"/>
      <c r="AF23" s="215"/>
    </row>
    <row r="24" spans="2:32">
      <c r="B24" s="220">
        <f t="shared" si="0"/>
        <v>21</v>
      </c>
      <c r="C24" s="423" t="s">
        <v>486</v>
      </c>
      <c r="D24" s="424"/>
      <c r="E24" s="425"/>
      <c r="F24" s="426"/>
      <c r="G24" s="426"/>
      <c r="H24" s="426"/>
      <c r="I24" s="427"/>
      <c r="J24" s="428"/>
      <c r="K24" s="429"/>
      <c r="L24" s="426"/>
      <c r="M24" s="426"/>
      <c r="N24" s="426"/>
      <c r="O24" s="427"/>
      <c r="P24" s="430"/>
      <c r="Q24" s="430"/>
      <c r="R24" s="430"/>
      <c r="S24" s="430"/>
      <c r="T24" s="430"/>
      <c r="U24" s="430"/>
      <c r="V24" s="427"/>
      <c r="W24" s="431"/>
      <c r="X24" s="428"/>
    </row>
    <row r="25" spans="2:32" ht="15.75" customHeight="1">
      <c r="B25" s="220">
        <f t="shared" si="0"/>
        <v>22</v>
      </c>
      <c r="C25" s="432"/>
      <c r="D25" s="433" t="s">
        <v>485</v>
      </c>
      <c r="E25" s="433"/>
      <c r="F25" s="434"/>
      <c r="G25" s="434"/>
      <c r="H25" s="434" t="s">
        <v>126</v>
      </c>
      <c r="I25" s="435" t="s">
        <v>56</v>
      </c>
      <c r="J25" s="436" t="s">
        <v>487</v>
      </c>
      <c r="K25" s="437"/>
      <c r="L25" s="438"/>
      <c r="M25" s="438"/>
      <c r="N25" s="434" t="s">
        <v>111</v>
      </c>
      <c r="O25" s="439"/>
      <c r="P25" s="438"/>
      <c r="Q25" s="438"/>
      <c r="R25" s="438"/>
      <c r="S25" s="438"/>
      <c r="T25" s="438"/>
      <c r="U25" s="440"/>
      <c r="V25" s="439"/>
      <c r="W25" s="441"/>
      <c r="X25" s="436"/>
    </row>
  </sheetData>
  <mergeCells count="19">
    <mergeCell ref="C24:D24"/>
    <mergeCell ref="R2:T2"/>
    <mergeCell ref="U2:U3"/>
    <mergeCell ref="V2:V3"/>
    <mergeCell ref="W2:W3"/>
    <mergeCell ref="X2:X3"/>
    <mergeCell ref="Q2:Q3"/>
    <mergeCell ref="B2:B3"/>
    <mergeCell ref="E2:E3"/>
    <mergeCell ref="F2:F3"/>
    <mergeCell ref="H2:H3"/>
    <mergeCell ref="I2:J2"/>
    <mergeCell ref="K2:K3"/>
    <mergeCell ref="L2:M2"/>
    <mergeCell ref="N2:N3"/>
    <mergeCell ref="O2:O3"/>
    <mergeCell ref="P2:P3"/>
    <mergeCell ref="G2:G3"/>
    <mergeCell ref="D2:D3"/>
  </mergeCells>
  <phoneticPr fontId="7"/>
  <dataValidations count="2">
    <dataValidation type="list" allowBlank="1" showInputMessage="1" sqref="IF65415:IF65484 SB65415:SB65484 ABX65415:ABX65484 ALT65415:ALT65484 AVP65415:AVP65484 BFL65415:BFL65484 BPH65415:BPH65484 BZD65415:BZD65484 CIZ65415:CIZ65484 CSV65415:CSV65484 DCR65415:DCR65484 DMN65415:DMN65484 DWJ65415:DWJ65484 EGF65415:EGF65484 EQB65415:EQB65484 EZX65415:EZX65484 FJT65415:FJT65484 FTP65415:FTP65484 GDL65415:GDL65484 GNH65415:GNH65484 GXD65415:GXD65484 HGZ65415:HGZ65484 HQV65415:HQV65484 IAR65415:IAR65484 IKN65415:IKN65484 IUJ65415:IUJ65484 JEF65415:JEF65484 JOB65415:JOB65484 JXX65415:JXX65484 KHT65415:KHT65484 KRP65415:KRP65484 LBL65415:LBL65484 LLH65415:LLH65484 LVD65415:LVD65484 MEZ65415:MEZ65484 MOV65415:MOV65484 MYR65415:MYR65484 NIN65415:NIN65484 NSJ65415:NSJ65484 OCF65415:OCF65484 OMB65415:OMB65484 OVX65415:OVX65484 PFT65415:PFT65484 PPP65415:PPP65484 PZL65415:PZL65484 QJH65415:QJH65484 QTD65415:QTD65484 RCZ65415:RCZ65484 RMV65415:RMV65484 RWR65415:RWR65484 SGN65415:SGN65484 SQJ65415:SQJ65484 TAF65415:TAF65484 TKB65415:TKB65484 TTX65415:TTX65484 UDT65415:UDT65484 UNP65415:UNP65484 UXL65415:UXL65484 VHH65415:VHH65484 VRD65415:VRD65484 WAZ65415:WAZ65484 WKV65415:WKV65484 WUR65415:WUR65484 IF130951:IF131020 SB130951:SB131020 ABX130951:ABX131020 ALT130951:ALT131020 AVP130951:AVP131020 BFL130951:BFL131020 BPH130951:BPH131020 BZD130951:BZD131020 CIZ130951:CIZ131020 CSV130951:CSV131020 DCR130951:DCR131020 DMN130951:DMN131020 DWJ130951:DWJ131020 EGF130951:EGF131020 EQB130951:EQB131020 EZX130951:EZX131020 FJT130951:FJT131020 FTP130951:FTP131020 GDL130951:GDL131020 GNH130951:GNH131020 GXD130951:GXD131020 HGZ130951:HGZ131020 HQV130951:HQV131020 IAR130951:IAR131020 IKN130951:IKN131020 IUJ130951:IUJ131020 JEF130951:JEF131020 JOB130951:JOB131020 JXX130951:JXX131020 KHT130951:KHT131020 KRP130951:KRP131020 LBL130951:LBL131020 LLH130951:LLH131020 LVD130951:LVD131020 MEZ130951:MEZ131020 MOV130951:MOV131020 MYR130951:MYR131020 NIN130951:NIN131020 NSJ130951:NSJ131020 OCF130951:OCF131020 OMB130951:OMB131020 OVX130951:OVX131020 PFT130951:PFT131020 PPP130951:PPP131020 PZL130951:PZL131020 QJH130951:QJH131020 QTD130951:QTD131020 RCZ130951:RCZ131020 RMV130951:RMV131020 RWR130951:RWR131020 SGN130951:SGN131020 SQJ130951:SQJ131020 TAF130951:TAF131020 TKB130951:TKB131020 TTX130951:TTX131020 UDT130951:UDT131020 UNP130951:UNP131020 UXL130951:UXL131020 VHH130951:VHH131020 VRD130951:VRD131020 WAZ130951:WAZ131020 WKV130951:WKV131020 WUR130951:WUR131020 IF196487:IF196556 SB196487:SB196556 ABX196487:ABX196556 ALT196487:ALT196556 AVP196487:AVP196556 BFL196487:BFL196556 BPH196487:BPH196556 BZD196487:BZD196556 CIZ196487:CIZ196556 CSV196487:CSV196556 DCR196487:DCR196556 DMN196487:DMN196556 DWJ196487:DWJ196556 EGF196487:EGF196556 EQB196487:EQB196556 EZX196487:EZX196556 FJT196487:FJT196556 FTP196487:FTP196556 GDL196487:GDL196556 GNH196487:GNH196556 GXD196487:GXD196556 HGZ196487:HGZ196556 HQV196487:HQV196556 IAR196487:IAR196556 IKN196487:IKN196556 IUJ196487:IUJ196556 JEF196487:JEF196556 JOB196487:JOB196556 JXX196487:JXX196556 KHT196487:KHT196556 KRP196487:KRP196556 LBL196487:LBL196556 LLH196487:LLH196556 LVD196487:LVD196556 MEZ196487:MEZ196556 MOV196487:MOV196556 MYR196487:MYR196556 NIN196487:NIN196556 NSJ196487:NSJ196556 OCF196487:OCF196556 OMB196487:OMB196556 OVX196487:OVX196556 PFT196487:PFT196556 PPP196487:PPP196556 PZL196487:PZL196556 QJH196487:QJH196556 QTD196487:QTD196556 RCZ196487:RCZ196556 RMV196487:RMV196556 RWR196487:RWR196556 SGN196487:SGN196556 SQJ196487:SQJ196556 TAF196487:TAF196556 TKB196487:TKB196556 TTX196487:TTX196556 UDT196487:UDT196556 UNP196487:UNP196556 UXL196487:UXL196556 VHH196487:VHH196556 VRD196487:VRD196556 WAZ196487:WAZ196556 WKV196487:WKV196556 WUR196487:WUR196556 IF262023:IF262092 SB262023:SB262092 ABX262023:ABX262092 ALT262023:ALT262092 AVP262023:AVP262092 BFL262023:BFL262092 BPH262023:BPH262092 BZD262023:BZD262092 CIZ262023:CIZ262092 CSV262023:CSV262092 DCR262023:DCR262092 DMN262023:DMN262092 DWJ262023:DWJ262092 EGF262023:EGF262092 EQB262023:EQB262092 EZX262023:EZX262092 FJT262023:FJT262092 FTP262023:FTP262092 GDL262023:GDL262092 GNH262023:GNH262092 GXD262023:GXD262092 HGZ262023:HGZ262092 HQV262023:HQV262092 IAR262023:IAR262092 IKN262023:IKN262092 IUJ262023:IUJ262092 JEF262023:JEF262092 JOB262023:JOB262092 JXX262023:JXX262092 KHT262023:KHT262092 KRP262023:KRP262092 LBL262023:LBL262092 LLH262023:LLH262092 LVD262023:LVD262092 MEZ262023:MEZ262092 MOV262023:MOV262092 MYR262023:MYR262092 NIN262023:NIN262092 NSJ262023:NSJ262092 OCF262023:OCF262092 OMB262023:OMB262092 OVX262023:OVX262092 PFT262023:PFT262092 PPP262023:PPP262092 PZL262023:PZL262092 QJH262023:QJH262092 QTD262023:QTD262092 RCZ262023:RCZ262092 RMV262023:RMV262092 RWR262023:RWR262092 SGN262023:SGN262092 SQJ262023:SQJ262092 TAF262023:TAF262092 TKB262023:TKB262092 TTX262023:TTX262092 UDT262023:UDT262092 UNP262023:UNP262092 UXL262023:UXL262092 VHH262023:VHH262092 VRD262023:VRD262092 WAZ262023:WAZ262092 WKV262023:WKV262092 WUR262023:WUR262092 IF327559:IF327628 SB327559:SB327628 ABX327559:ABX327628 ALT327559:ALT327628 AVP327559:AVP327628 BFL327559:BFL327628 BPH327559:BPH327628 BZD327559:BZD327628 CIZ327559:CIZ327628 CSV327559:CSV327628 DCR327559:DCR327628 DMN327559:DMN327628 DWJ327559:DWJ327628 EGF327559:EGF327628 EQB327559:EQB327628 EZX327559:EZX327628 FJT327559:FJT327628 FTP327559:FTP327628 GDL327559:GDL327628 GNH327559:GNH327628 GXD327559:GXD327628 HGZ327559:HGZ327628 HQV327559:HQV327628 IAR327559:IAR327628 IKN327559:IKN327628 IUJ327559:IUJ327628 JEF327559:JEF327628 JOB327559:JOB327628 JXX327559:JXX327628 KHT327559:KHT327628 KRP327559:KRP327628 LBL327559:LBL327628 LLH327559:LLH327628 LVD327559:LVD327628 MEZ327559:MEZ327628 MOV327559:MOV327628 MYR327559:MYR327628 NIN327559:NIN327628 NSJ327559:NSJ327628 OCF327559:OCF327628 OMB327559:OMB327628 OVX327559:OVX327628 PFT327559:PFT327628 PPP327559:PPP327628 PZL327559:PZL327628 QJH327559:QJH327628 QTD327559:QTD327628 RCZ327559:RCZ327628 RMV327559:RMV327628 RWR327559:RWR327628 SGN327559:SGN327628 SQJ327559:SQJ327628 TAF327559:TAF327628 TKB327559:TKB327628 TTX327559:TTX327628 UDT327559:UDT327628 UNP327559:UNP327628 UXL327559:UXL327628 VHH327559:VHH327628 VRD327559:VRD327628 WAZ327559:WAZ327628 WKV327559:WKV327628 WUR327559:WUR327628 IF393095:IF393164 SB393095:SB393164 ABX393095:ABX393164 ALT393095:ALT393164 AVP393095:AVP393164 BFL393095:BFL393164 BPH393095:BPH393164 BZD393095:BZD393164 CIZ393095:CIZ393164 CSV393095:CSV393164 DCR393095:DCR393164 DMN393095:DMN393164 DWJ393095:DWJ393164 EGF393095:EGF393164 EQB393095:EQB393164 EZX393095:EZX393164 FJT393095:FJT393164 FTP393095:FTP393164 GDL393095:GDL393164 GNH393095:GNH393164 GXD393095:GXD393164 HGZ393095:HGZ393164 HQV393095:HQV393164 IAR393095:IAR393164 IKN393095:IKN393164 IUJ393095:IUJ393164 JEF393095:JEF393164 JOB393095:JOB393164 JXX393095:JXX393164 KHT393095:KHT393164 KRP393095:KRP393164 LBL393095:LBL393164 LLH393095:LLH393164 LVD393095:LVD393164 MEZ393095:MEZ393164 MOV393095:MOV393164 MYR393095:MYR393164 NIN393095:NIN393164 NSJ393095:NSJ393164 OCF393095:OCF393164 OMB393095:OMB393164 OVX393095:OVX393164 PFT393095:PFT393164 PPP393095:PPP393164 PZL393095:PZL393164 QJH393095:QJH393164 QTD393095:QTD393164 RCZ393095:RCZ393164 RMV393095:RMV393164 RWR393095:RWR393164 SGN393095:SGN393164 SQJ393095:SQJ393164 TAF393095:TAF393164 TKB393095:TKB393164 TTX393095:TTX393164 UDT393095:UDT393164 UNP393095:UNP393164 UXL393095:UXL393164 VHH393095:VHH393164 VRD393095:VRD393164 WAZ393095:WAZ393164 WKV393095:WKV393164 WUR393095:WUR393164 IF458631:IF458700 SB458631:SB458700 ABX458631:ABX458700 ALT458631:ALT458700 AVP458631:AVP458700 BFL458631:BFL458700 BPH458631:BPH458700 BZD458631:BZD458700 CIZ458631:CIZ458700 CSV458631:CSV458700 DCR458631:DCR458700 DMN458631:DMN458700 DWJ458631:DWJ458700 EGF458631:EGF458700 EQB458631:EQB458700 EZX458631:EZX458700 FJT458631:FJT458700 FTP458631:FTP458700 GDL458631:GDL458700 GNH458631:GNH458700 GXD458631:GXD458700 HGZ458631:HGZ458700 HQV458631:HQV458700 IAR458631:IAR458700 IKN458631:IKN458700 IUJ458631:IUJ458700 JEF458631:JEF458700 JOB458631:JOB458700 JXX458631:JXX458700 KHT458631:KHT458700 KRP458631:KRP458700 LBL458631:LBL458700 LLH458631:LLH458700 LVD458631:LVD458700 MEZ458631:MEZ458700 MOV458631:MOV458700 MYR458631:MYR458700 NIN458631:NIN458700 NSJ458631:NSJ458700 OCF458631:OCF458700 OMB458631:OMB458700 OVX458631:OVX458700 PFT458631:PFT458700 PPP458631:PPP458700 PZL458631:PZL458700 QJH458631:QJH458700 QTD458631:QTD458700 RCZ458631:RCZ458700 RMV458631:RMV458700 RWR458631:RWR458700 SGN458631:SGN458700 SQJ458631:SQJ458700 TAF458631:TAF458700 TKB458631:TKB458700 TTX458631:TTX458700 UDT458631:UDT458700 UNP458631:UNP458700 UXL458631:UXL458700 VHH458631:VHH458700 VRD458631:VRD458700 WAZ458631:WAZ458700 WKV458631:WKV458700 WUR458631:WUR458700 IF524167:IF524236 SB524167:SB524236 ABX524167:ABX524236 ALT524167:ALT524236 AVP524167:AVP524236 BFL524167:BFL524236 BPH524167:BPH524236 BZD524167:BZD524236 CIZ524167:CIZ524236 CSV524167:CSV524236 DCR524167:DCR524236 DMN524167:DMN524236 DWJ524167:DWJ524236 EGF524167:EGF524236 EQB524167:EQB524236 EZX524167:EZX524236 FJT524167:FJT524236 FTP524167:FTP524236 GDL524167:GDL524236 GNH524167:GNH524236 GXD524167:GXD524236 HGZ524167:HGZ524236 HQV524167:HQV524236 IAR524167:IAR524236 IKN524167:IKN524236 IUJ524167:IUJ524236 JEF524167:JEF524236 JOB524167:JOB524236 JXX524167:JXX524236 KHT524167:KHT524236 KRP524167:KRP524236 LBL524167:LBL524236 LLH524167:LLH524236 LVD524167:LVD524236 MEZ524167:MEZ524236 MOV524167:MOV524236 MYR524167:MYR524236 NIN524167:NIN524236 NSJ524167:NSJ524236 OCF524167:OCF524236 OMB524167:OMB524236 OVX524167:OVX524236 PFT524167:PFT524236 PPP524167:PPP524236 PZL524167:PZL524236 QJH524167:QJH524236 QTD524167:QTD524236 RCZ524167:RCZ524236 RMV524167:RMV524236 RWR524167:RWR524236 SGN524167:SGN524236 SQJ524167:SQJ524236 TAF524167:TAF524236 TKB524167:TKB524236 TTX524167:TTX524236 UDT524167:UDT524236 UNP524167:UNP524236 UXL524167:UXL524236 VHH524167:VHH524236 VRD524167:VRD524236 WAZ524167:WAZ524236 WKV524167:WKV524236 WUR524167:WUR524236 IF589703:IF589772 SB589703:SB589772 ABX589703:ABX589772 ALT589703:ALT589772 AVP589703:AVP589772 BFL589703:BFL589772 BPH589703:BPH589772 BZD589703:BZD589772 CIZ589703:CIZ589772 CSV589703:CSV589772 DCR589703:DCR589772 DMN589703:DMN589772 DWJ589703:DWJ589772 EGF589703:EGF589772 EQB589703:EQB589772 EZX589703:EZX589772 FJT589703:FJT589772 FTP589703:FTP589772 GDL589703:GDL589772 GNH589703:GNH589772 GXD589703:GXD589772 HGZ589703:HGZ589772 HQV589703:HQV589772 IAR589703:IAR589772 IKN589703:IKN589772 IUJ589703:IUJ589772 JEF589703:JEF589772 JOB589703:JOB589772 JXX589703:JXX589772 KHT589703:KHT589772 KRP589703:KRP589772 LBL589703:LBL589772 LLH589703:LLH589772 LVD589703:LVD589772 MEZ589703:MEZ589772 MOV589703:MOV589772 MYR589703:MYR589772 NIN589703:NIN589772 NSJ589703:NSJ589772 OCF589703:OCF589772 OMB589703:OMB589772 OVX589703:OVX589772 PFT589703:PFT589772 PPP589703:PPP589772 PZL589703:PZL589772 QJH589703:QJH589772 QTD589703:QTD589772 RCZ589703:RCZ589772 RMV589703:RMV589772 RWR589703:RWR589772 SGN589703:SGN589772 SQJ589703:SQJ589772 TAF589703:TAF589772 TKB589703:TKB589772 TTX589703:TTX589772 UDT589703:UDT589772 UNP589703:UNP589772 UXL589703:UXL589772 VHH589703:VHH589772 VRD589703:VRD589772 WAZ589703:WAZ589772 WKV589703:WKV589772 WUR589703:WUR589772 IF655239:IF655308 SB655239:SB655308 ABX655239:ABX655308 ALT655239:ALT655308 AVP655239:AVP655308 BFL655239:BFL655308 BPH655239:BPH655308 BZD655239:BZD655308 CIZ655239:CIZ655308 CSV655239:CSV655308 DCR655239:DCR655308 DMN655239:DMN655308 DWJ655239:DWJ655308 EGF655239:EGF655308 EQB655239:EQB655308 EZX655239:EZX655308 FJT655239:FJT655308 FTP655239:FTP655308 GDL655239:GDL655308 GNH655239:GNH655308 GXD655239:GXD655308 HGZ655239:HGZ655308 HQV655239:HQV655308 IAR655239:IAR655308 IKN655239:IKN655308 IUJ655239:IUJ655308 JEF655239:JEF655308 JOB655239:JOB655308 JXX655239:JXX655308 KHT655239:KHT655308 KRP655239:KRP655308 LBL655239:LBL655308 LLH655239:LLH655308 LVD655239:LVD655308 MEZ655239:MEZ655308 MOV655239:MOV655308 MYR655239:MYR655308 NIN655239:NIN655308 NSJ655239:NSJ655308 OCF655239:OCF655308 OMB655239:OMB655308 OVX655239:OVX655308 PFT655239:PFT655308 PPP655239:PPP655308 PZL655239:PZL655308 QJH655239:QJH655308 QTD655239:QTD655308 RCZ655239:RCZ655308 RMV655239:RMV655308 RWR655239:RWR655308 SGN655239:SGN655308 SQJ655239:SQJ655308 TAF655239:TAF655308 TKB655239:TKB655308 TTX655239:TTX655308 UDT655239:UDT655308 UNP655239:UNP655308 UXL655239:UXL655308 VHH655239:VHH655308 VRD655239:VRD655308 WAZ655239:WAZ655308 WKV655239:WKV655308 WUR655239:WUR655308 IF720775:IF720844 SB720775:SB720844 ABX720775:ABX720844 ALT720775:ALT720844 AVP720775:AVP720844 BFL720775:BFL720844 BPH720775:BPH720844 BZD720775:BZD720844 CIZ720775:CIZ720844 CSV720775:CSV720844 DCR720775:DCR720844 DMN720775:DMN720844 DWJ720775:DWJ720844 EGF720775:EGF720844 EQB720775:EQB720844 EZX720775:EZX720844 FJT720775:FJT720844 FTP720775:FTP720844 GDL720775:GDL720844 GNH720775:GNH720844 GXD720775:GXD720844 HGZ720775:HGZ720844 HQV720775:HQV720844 IAR720775:IAR720844 IKN720775:IKN720844 IUJ720775:IUJ720844 JEF720775:JEF720844 JOB720775:JOB720844 JXX720775:JXX720844 KHT720775:KHT720844 KRP720775:KRP720844 LBL720775:LBL720844 LLH720775:LLH720844 LVD720775:LVD720844 MEZ720775:MEZ720844 MOV720775:MOV720844 MYR720775:MYR720844 NIN720775:NIN720844 NSJ720775:NSJ720844 OCF720775:OCF720844 OMB720775:OMB720844 OVX720775:OVX720844 PFT720775:PFT720844 PPP720775:PPP720844 PZL720775:PZL720844 QJH720775:QJH720844 QTD720775:QTD720844 RCZ720775:RCZ720844 RMV720775:RMV720844 RWR720775:RWR720844 SGN720775:SGN720844 SQJ720775:SQJ720844 TAF720775:TAF720844 TKB720775:TKB720844 TTX720775:TTX720844 UDT720775:UDT720844 UNP720775:UNP720844 UXL720775:UXL720844 VHH720775:VHH720844 VRD720775:VRD720844 WAZ720775:WAZ720844 WKV720775:WKV720844 WUR720775:WUR720844 IF786311:IF786380 SB786311:SB786380 ABX786311:ABX786380 ALT786311:ALT786380 AVP786311:AVP786380 BFL786311:BFL786380 BPH786311:BPH786380 BZD786311:BZD786380 CIZ786311:CIZ786380 CSV786311:CSV786380 DCR786311:DCR786380 DMN786311:DMN786380 DWJ786311:DWJ786380 EGF786311:EGF786380 EQB786311:EQB786380 EZX786311:EZX786380 FJT786311:FJT786380 FTP786311:FTP786380 GDL786311:GDL786380 GNH786311:GNH786380 GXD786311:GXD786380 HGZ786311:HGZ786380 HQV786311:HQV786380 IAR786311:IAR786380 IKN786311:IKN786380 IUJ786311:IUJ786380 JEF786311:JEF786380 JOB786311:JOB786380 JXX786311:JXX786380 KHT786311:KHT786380 KRP786311:KRP786380 LBL786311:LBL786380 LLH786311:LLH786380 LVD786311:LVD786380 MEZ786311:MEZ786380 MOV786311:MOV786380 MYR786311:MYR786380 NIN786311:NIN786380 NSJ786311:NSJ786380 OCF786311:OCF786380 OMB786311:OMB786380 OVX786311:OVX786380 PFT786311:PFT786380 PPP786311:PPP786380 PZL786311:PZL786380 QJH786311:QJH786380 QTD786311:QTD786380 RCZ786311:RCZ786380 RMV786311:RMV786380 RWR786311:RWR786380 SGN786311:SGN786380 SQJ786311:SQJ786380 TAF786311:TAF786380 TKB786311:TKB786380 TTX786311:TTX786380 UDT786311:UDT786380 UNP786311:UNP786380 UXL786311:UXL786380 VHH786311:VHH786380 VRD786311:VRD786380 WAZ786311:WAZ786380 WKV786311:WKV786380 WUR786311:WUR786380 IF851847:IF851916 SB851847:SB851916 ABX851847:ABX851916 ALT851847:ALT851916 AVP851847:AVP851916 BFL851847:BFL851916 BPH851847:BPH851916 BZD851847:BZD851916 CIZ851847:CIZ851916 CSV851847:CSV851916 DCR851847:DCR851916 DMN851847:DMN851916 DWJ851847:DWJ851916 EGF851847:EGF851916 EQB851847:EQB851916 EZX851847:EZX851916 FJT851847:FJT851916 FTP851847:FTP851916 GDL851847:GDL851916 GNH851847:GNH851916 GXD851847:GXD851916 HGZ851847:HGZ851916 HQV851847:HQV851916 IAR851847:IAR851916 IKN851847:IKN851916 IUJ851847:IUJ851916 JEF851847:JEF851916 JOB851847:JOB851916 JXX851847:JXX851916 KHT851847:KHT851916 KRP851847:KRP851916 LBL851847:LBL851916 LLH851847:LLH851916 LVD851847:LVD851916 MEZ851847:MEZ851916 MOV851847:MOV851916 MYR851847:MYR851916 NIN851847:NIN851916 NSJ851847:NSJ851916 OCF851847:OCF851916 OMB851847:OMB851916 OVX851847:OVX851916 PFT851847:PFT851916 PPP851847:PPP851916 PZL851847:PZL851916 QJH851847:QJH851916 QTD851847:QTD851916 RCZ851847:RCZ851916 RMV851847:RMV851916 RWR851847:RWR851916 SGN851847:SGN851916 SQJ851847:SQJ851916 TAF851847:TAF851916 TKB851847:TKB851916 TTX851847:TTX851916 UDT851847:UDT851916 UNP851847:UNP851916 UXL851847:UXL851916 VHH851847:VHH851916 VRD851847:VRD851916 WAZ851847:WAZ851916 WKV851847:WKV851916 WUR851847:WUR851916 IF917383:IF917452 SB917383:SB917452 ABX917383:ABX917452 ALT917383:ALT917452 AVP917383:AVP917452 BFL917383:BFL917452 BPH917383:BPH917452 BZD917383:BZD917452 CIZ917383:CIZ917452 CSV917383:CSV917452 DCR917383:DCR917452 DMN917383:DMN917452 DWJ917383:DWJ917452 EGF917383:EGF917452 EQB917383:EQB917452 EZX917383:EZX917452 FJT917383:FJT917452 FTP917383:FTP917452 GDL917383:GDL917452 GNH917383:GNH917452 GXD917383:GXD917452 HGZ917383:HGZ917452 HQV917383:HQV917452 IAR917383:IAR917452 IKN917383:IKN917452 IUJ917383:IUJ917452 JEF917383:JEF917452 JOB917383:JOB917452 JXX917383:JXX917452 KHT917383:KHT917452 KRP917383:KRP917452 LBL917383:LBL917452 LLH917383:LLH917452 LVD917383:LVD917452 MEZ917383:MEZ917452 MOV917383:MOV917452 MYR917383:MYR917452 NIN917383:NIN917452 NSJ917383:NSJ917452 OCF917383:OCF917452 OMB917383:OMB917452 OVX917383:OVX917452 PFT917383:PFT917452 PPP917383:PPP917452 PZL917383:PZL917452 QJH917383:QJH917452 QTD917383:QTD917452 RCZ917383:RCZ917452 RMV917383:RMV917452 RWR917383:RWR917452 SGN917383:SGN917452 SQJ917383:SQJ917452 TAF917383:TAF917452 TKB917383:TKB917452 TTX917383:TTX917452 UDT917383:UDT917452 UNP917383:UNP917452 UXL917383:UXL917452 VHH917383:VHH917452 VRD917383:VRD917452 WAZ917383:WAZ917452 WKV917383:WKV917452 WUR917383:WUR917452 IF982919:IF982988 SB982919:SB982988 ABX982919:ABX982988 ALT982919:ALT982988 AVP982919:AVP982988 BFL982919:BFL982988 BPH982919:BPH982988 BZD982919:BZD982988 CIZ982919:CIZ982988 CSV982919:CSV982988 DCR982919:DCR982988 DMN982919:DMN982988 DWJ982919:DWJ982988 EGF982919:EGF982988 EQB982919:EQB982988 EZX982919:EZX982988 FJT982919:FJT982988 FTP982919:FTP982988 GDL982919:GDL982988 GNH982919:GNH982988 GXD982919:GXD982988 HGZ982919:HGZ982988 HQV982919:HQV982988 IAR982919:IAR982988 IKN982919:IKN982988 IUJ982919:IUJ982988 JEF982919:JEF982988 JOB982919:JOB982988 JXX982919:JXX982988 KHT982919:KHT982988 KRP982919:KRP982988 LBL982919:LBL982988 LLH982919:LLH982988 LVD982919:LVD982988 MEZ982919:MEZ982988 MOV982919:MOV982988 MYR982919:MYR982988 NIN982919:NIN982988 NSJ982919:NSJ982988 OCF982919:OCF982988 OMB982919:OMB982988 OVX982919:OVX982988 PFT982919:PFT982988 PPP982919:PPP982988 PZL982919:PZL982988 QJH982919:QJH982988 QTD982919:QTD982988 RCZ982919:RCZ982988 RMV982919:RMV982988 RWR982919:RWR982988 SGN982919:SGN982988 SQJ982919:SQJ982988 TAF982919:TAF982988 TKB982919:TKB982988 TTX982919:TTX982988 UDT982919:UDT982988 UNP982919:UNP982988 UXL982919:UXL982988 VHH982919:VHH982988 VRD982919:VRD982988 WAZ982919:WAZ982988 WKV982919:WKV982988 WUR982919:WUR982988 BPH4:BPH23 BZD4:BZD23 CIZ4:CIZ23 CSV4:CSV23 DCR4:DCR23 DMN4:DMN23 DWJ4:DWJ23 EGF4:EGF23 EQB4:EQB23 EZX4:EZX23 FJT4:FJT23 FTP4:FTP23 GDL4:GDL23 GNH4:GNH23 GXD4:GXD23 HGZ4:HGZ23 HQV4:HQV23 IAR4:IAR23 IKN4:IKN23 IUJ4:IUJ23 JEF4:JEF23 JOB4:JOB23 JXX4:JXX23 KHT4:KHT23 KRP4:KRP23 LBL4:LBL23 LLH4:LLH23 LVD4:LVD23 MEZ4:MEZ23 MOV4:MOV23 MYR4:MYR23 NIN4:NIN23 NSJ4:NSJ23 OCF4:OCF23 OMB4:OMB23 OVX4:OVX23 PFT4:PFT23 PPP4:PPP23 PZL4:PZL23 QJH4:QJH23 QTD4:QTD23 RCZ4:RCZ23 RMV4:RMV23 RWR4:RWR23 SGN4:SGN23 SQJ4:SQJ23 TAF4:TAF23 TKB4:TKB23 TTX4:TTX23 UDT4:UDT23 UNP4:UNP23 UXL4:UXL23 VHH4:VHH23 VRD4:VRD23 WKV4:WKV23 WAZ4:WAZ23 WUR4:WUR23 IF4:IF23 SB4:SB23 ABX4:ABX23 ALT4:ALT23 AVP4:AVP23 BFL4:BFL23" xr:uid="{0D8A18AB-9A36-41E9-B462-A7D5D7953BA1}">
      <formula1>"0～9と-のみ,画面構成項目（ボタン等）,日付,セパレート日付,数字のみ,数字と小数点,数字とマイナス記号と小数点,英字のみ,英字（大文字）のみ,英字（小文字）のみ,英数字のみ,英数字（大文字）のみ,英数字（小文字）のみ,英数字記号のみ,英数字記号（'""*%|以外）のみ,0～9のみ,ひらがなのみ,カタカナのみ,全角のみ,E-mailアドレス,""*%|以外,全て,E-mailアドレス,郵便番号,全角('""*%|以外)のみ"</formula1>
    </dataValidation>
    <dataValidation type="list" allowBlank="1" showInputMessage="1" showErrorMessage="1" sqref="IT65415:IU65484 SP65415:SQ65484 ACL65415:ACM65484 AMH65415:AMI65484 AWD65415:AWE65484 BFZ65415:BGA65484 BPV65415:BPW65484 BZR65415:BZS65484 CJN65415:CJO65484 CTJ65415:CTK65484 DDF65415:DDG65484 DNB65415:DNC65484 DWX65415:DWY65484 EGT65415:EGU65484 EQP65415:EQQ65484 FAL65415:FAM65484 FKH65415:FKI65484 FUD65415:FUE65484 GDZ65415:GEA65484 GNV65415:GNW65484 GXR65415:GXS65484 HHN65415:HHO65484 HRJ65415:HRK65484 IBF65415:IBG65484 ILB65415:ILC65484 IUX65415:IUY65484 JET65415:JEU65484 JOP65415:JOQ65484 JYL65415:JYM65484 KIH65415:KII65484 KSD65415:KSE65484 LBZ65415:LCA65484 LLV65415:LLW65484 LVR65415:LVS65484 MFN65415:MFO65484 MPJ65415:MPK65484 MZF65415:MZG65484 NJB65415:NJC65484 NSX65415:NSY65484 OCT65415:OCU65484 OMP65415:OMQ65484 OWL65415:OWM65484 PGH65415:PGI65484 PQD65415:PQE65484 PZZ65415:QAA65484 QJV65415:QJW65484 QTR65415:QTS65484 RDN65415:RDO65484 RNJ65415:RNK65484 RXF65415:RXG65484 SHB65415:SHC65484 SQX65415:SQY65484 TAT65415:TAU65484 TKP65415:TKQ65484 TUL65415:TUM65484 UEH65415:UEI65484 UOD65415:UOE65484 UXZ65415:UYA65484 VHV65415:VHW65484 VRR65415:VRS65484 WBN65415:WBO65484 WLJ65415:WLK65484 WVF65415:WVG65484 IT130951:IU131020 SP130951:SQ131020 ACL130951:ACM131020 AMH130951:AMI131020 AWD130951:AWE131020 BFZ130951:BGA131020 BPV130951:BPW131020 BZR130951:BZS131020 CJN130951:CJO131020 CTJ130951:CTK131020 DDF130951:DDG131020 DNB130951:DNC131020 DWX130951:DWY131020 EGT130951:EGU131020 EQP130951:EQQ131020 FAL130951:FAM131020 FKH130951:FKI131020 FUD130951:FUE131020 GDZ130951:GEA131020 GNV130951:GNW131020 GXR130951:GXS131020 HHN130951:HHO131020 HRJ130951:HRK131020 IBF130951:IBG131020 ILB130951:ILC131020 IUX130951:IUY131020 JET130951:JEU131020 JOP130951:JOQ131020 JYL130951:JYM131020 KIH130951:KII131020 KSD130951:KSE131020 LBZ130951:LCA131020 LLV130951:LLW131020 LVR130951:LVS131020 MFN130951:MFO131020 MPJ130951:MPK131020 MZF130951:MZG131020 NJB130951:NJC131020 NSX130951:NSY131020 OCT130951:OCU131020 OMP130951:OMQ131020 OWL130951:OWM131020 PGH130951:PGI131020 PQD130951:PQE131020 PZZ130951:QAA131020 QJV130951:QJW131020 QTR130951:QTS131020 RDN130951:RDO131020 RNJ130951:RNK131020 RXF130951:RXG131020 SHB130951:SHC131020 SQX130951:SQY131020 TAT130951:TAU131020 TKP130951:TKQ131020 TUL130951:TUM131020 UEH130951:UEI131020 UOD130951:UOE131020 UXZ130951:UYA131020 VHV130951:VHW131020 VRR130951:VRS131020 WBN130951:WBO131020 WLJ130951:WLK131020 WVF130951:WVG131020 IT196487:IU196556 SP196487:SQ196556 ACL196487:ACM196556 AMH196487:AMI196556 AWD196487:AWE196556 BFZ196487:BGA196556 BPV196487:BPW196556 BZR196487:BZS196556 CJN196487:CJO196556 CTJ196487:CTK196556 DDF196487:DDG196556 DNB196487:DNC196556 DWX196487:DWY196556 EGT196487:EGU196556 EQP196487:EQQ196556 FAL196487:FAM196556 FKH196487:FKI196556 FUD196487:FUE196556 GDZ196487:GEA196556 GNV196487:GNW196556 GXR196487:GXS196556 HHN196487:HHO196556 HRJ196487:HRK196556 IBF196487:IBG196556 ILB196487:ILC196556 IUX196487:IUY196556 JET196487:JEU196556 JOP196487:JOQ196556 JYL196487:JYM196556 KIH196487:KII196556 KSD196487:KSE196556 LBZ196487:LCA196556 LLV196487:LLW196556 LVR196487:LVS196556 MFN196487:MFO196556 MPJ196487:MPK196556 MZF196487:MZG196556 NJB196487:NJC196556 NSX196487:NSY196556 OCT196487:OCU196556 OMP196487:OMQ196556 OWL196487:OWM196556 PGH196487:PGI196556 PQD196487:PQE196556 PZZ196487:QAA196556 QJV196487:QJW196556 QTR196487:QTS196556 RDN196487:RDO196556 RNJ196487:RNK196556 RXF196487:RXG196556 SHB196487:SHC196556 SQX196487:SQY196556 TAT196487:TAU196556 TKP196487:TKQ196556 TUL196487:TUM196556 UEH196487:UEI196556 UOD196487:UOE196556 UXZ196487:UYA196556 VHV196487:VHW196556 VRR196487:VRS196556 WBN196487:WBO196556 WLJ196487:WLK196556 WVF196487:WVG196556 IT262023:IU262092 SP262023:SQ262092 ACL262023:ACM262092 AMH262023:AMI262092 AWD262023:AWE262092 BFZ262023:BGA262092 BPV262023:BPW262092 BZR262023:BZS262092 CJN262023:CJO262092 CTJ262023:CTK262092 DDF262023:DDG262092 DNB262023:DNC262092 DWX262023:DWY262092 EGT262023:EGU262092 EQP262023:EQQ262092 FAL262023:FAM262092 FKH262023:FKI262092 FUD262023:FUE262092 GDZ262023:GEA262092 GNV262023:GNW262092 GXR262023:GXS262092 HHN262023:HHO262092 HRJ262023:HRK262092 IBF262023:IBG262092 ILB262023:ILC262092 IUX262023:IUY262092 JET262023:JEU262092 JOP262023:JOQ262092 JYL262023:JYM262092 KIH262023:KII262092 KSD262023:KSE262092 LBZ262023:LCA262092 LLV262023:LLW262092 LVR262023:LVS262092 MFN262023:MFO262092 MPJ262023:MPK262092 MZF262023:MZG262092 NJB262023:NJC262092 NSX262023:NSY262092 OCT262023:OCU262092 OMP262023:OMQ262092 OWL262023:OWM262092 PGH262023:PGI262092 PQD262023:PQE262092 PZZ262023:QAA262092 QJV262023:QJW262092 QTR262023:QTS262092 RDN262023:RDO262092 RNJ262023:RNK262092 RXF262023:RXG262092 SHB262023:SHC262092 SQX262023:SQY262092 TAT262023:TAU262092 TKP262023:TKQ262092 TUL262023:TUM262092 UEH262023:UEI262092 UOD262023:UOE262092 UXZ262023:UYA262092 VHV262023:VHW262092 VRR262023:VRS262092 WBN262023:WBO262092 WLJ262023:WLK262092 WVF262023:WVG262092 IT327559:IU327628 SP327559:SQ327628 ACL327559:ACM327628 AMH327559:AMI327628 AWD327559:AWE327628 BFZ327559:BGA327628 BPV327559:BPW327628 BZR327559:BZS327628 CJN327559:CJO327628 CTJ327559:CTK327628 DDF327559:DDG327628 DNB327559:DNC327628 DWX327559:DWY327628 EGT327559:EGU327628 EQP327559:EQQ327628 FAL327559:FAM327628 FKH327559:FKI327628 FUD327559:FUE327628 GDZ327559:GEA327628 GNV327559:GNW327628 GXR327559:GXS327628 HHN327559:HHO327628 HRJ327559:HRK327628 IBF327559:IBG327628 ILB327559:ILC327628 IUX327559:IUY327628 JET327559:JEU327628 JOP327559:JOQ327628 JYL327559:JYM327628 KIH327559:KII327628 KSD327559:KSE327628 LBZ327559:LCA327628 LLV327559:LLW327628 LVR327559:LVS327628 MFN327559:MFO327628 MPJ327559:MPK327628 MZF327559:MZG327628 NJB327559:NJC327628 NSX327559:NSY327628 OCT327559:OCU327628 OMP327559:OMQ327628 OWL327559:OWM327628 PGH327559:PGI327628 PQD327559:PQE327628 PZZ327559:QAA327628 QJV327559:QJW327628 QTR327559:QTS327628 RDN327559:RDO327628 RNJ327559:RNK327628 RXF327559:RXG327628 SHB327559:SHC327628 SQX327559:SQY327628 TAT327559:TAU327628 TKP327559:TKQ327628 TUL327559:TUM327628 UEH327559:UEI327628 UOD327559:UOE327628 UXZ327559:UYA327628 VHV327559:VHW327628 VRR327559:VRS327628 WBN327559:WBO327628 WLJ327559:WLK327628 WVF327559:WVG327628 IT393095:IU393164 SP393095:SQ393164 ACL393095:ACM393164 AMH393095:AMI393164 AWD393095:AWE393164 BFZ393095:BGA393164 BPV393095:BPW393164 BZR393095:BZS393164 CJN393095:CJO393164 CTJ393095:CTK393164 DDF393095:DDG393164 DNB393095:DNC393164 DWX393095:DWY393164 EGT393095:EGU393164 EQP393095:EQQ393164 FAL393095:FAM393164 FKH393095:FKI393164 FUD393095:FUE393164 GDZ393095:GEA393164 GNV393095:GNW393164 GXR393095:GXS393164 HHN393095:HHO393164 HRJ393095:HRK393164 IBF393095:IBG393164 ILB393095:ILC393164 IUX393095:IUY393164 JET393095:JEU393164 JOP393095:JOQ393164 JYL393095:JYM393164 KIH393095:KII393164 KSD393095:KSE393164 LBZ393095:LCA393164 LLV393095:LLW393164 LVR393095:LVS393164 MFN393095:MFO393164 MPJ393095:MPK393164 MZF393095:MZG393164 NJB393095:NJC393164 NSX393095:NSY393164 OCT393095:OCU393164 OMP393095:OMQ393164 OWL393095:OWM393164 PGH393095:PGI393164 PQD393095:PQE393164 PZZ393095:QAA393164 QJV393095:QJW393164 QTR393095:QTS393164 RDN393095:RDO393164 RNJ393095:RNK393164 RXF393095:RXG393164 SHB393095:SHC393164 SQX393095:SQY393164 TAT393095:TAU393164 TKP393095:TKQ393164 TUL393095:TUM393164 UEH393095:UEI393164 UOD393095:UOE393164 UXZ393095:UYA393164 VHV393095:VHW393164 VRR393095:VRS393164 WBN393095:WBO393164 WLJ393095:WLK393164 WVF393095:WVG393164 IT458631:IU458700 SP458631:SQ458700 ACL458631:ACM458700 AMH458631:AMI458700 AWD458631:AWE458700 BFZ458631:BGA458700 BPV458631:BPW458700 BZR458631:BZS458700 CJN458631:CJO458700 CTJ458631:CTK458700 DDF458631:DDG458700 DNB458631:DNC458700 DWX458631:DWY458700 EGT458631:EGU458700 EQP458631:EQQ458700 FAL458631:FAM458700 FKH458631:FKI458700 FUD458631:FUE458700 GDZ458631:GEA458700 GNV458631:GNW458700 GXR458631:GXS458700 HHN458631:HHO458700 HRJ458631:HRK458700 IBF458631:IBG458700 ILB458631:ILC458700 IUX458631:IUY458700 JET458631:JEU458700 JOP458631:JOQ458700 JYL458631:JYM458700 KIH458631:KII458700 KSD458631:KSE458700 LBZ458631:LCA458700 LLV458631:LLW458700 LVR458631:LVS458700 MFN458631:MFO458700 MPJ458631:MPK458700 MZF458631:MZG458700 NJB458631:NJC458700 NSX458631:NSY458700 OCT458631:OCU458700 OMP458631:OMQ458700 OWL458631:OWM458700 PGH458631:PGI458700 PQD458631:PQE458700 PZZ458631:QAA458700 QJV458631:QJW458700 QTR458631:QTS458700 RDN458631:RDO458700 RNJ458631:RNK458700 RXF458631:RXG458700 SHB458631:SHC458700 SQX458631:SQY458700 TAT458631:TAU458700 TKP458631:TKQ458700 TUL458631:TUM458700 UEH458631:UEI458700 UOD458631:UOE458700 UXZ458631:UYA458700 VHV458631:VHW458700 VRR458631:VRS458700 WBN458631:WBO458700 WLJ458631:WLK458700 WVF458631:WVG458700 IT524167:IU524236 SP524167:SQ524236 ACL524167:ACM524236 AMH524167:AMI524236 AWD524167:AWE524236 BFZ524167:BGA524236 BPV524167:BPW524236 BZR524167:BZS524236 CJN524167:CJO524236 CTJ524167:CTK524236 DDF524167:DDG524236 DNB524167:DNC524236 DWX524167:DWY524236 EGT524167:EGU524236 EQP524167:EQQ524236 FAL524167:FAM524236 FKH524167:FKI524236 FUD524167:FUE524236 GDZ524167:GEA524236 GNV524167:GNW524236 GXR524167:GXS524236 HHN524167:HHO524236 HRJ524167:HRK524236 IBF524167:IBG524236 ILB524167:ILC524236 IUX524167:IUY524236 JET524167:JEU524236 JOP524167:JOQ524236 JYL524167:JYM524236 KIH524167:KII524236 KSD524167:KSE524236 LBZ524167:LCA524236 LLV524167:LLW524236 LVR524167:LVS524236 MFN524167:MFO524236 MPJ524167:MPK524236 MZF524167:MZG524236 NJB524167:NJC524236 NSX524167:NSY524236 OCT524167:OCU524236 OMP524167:OMQ524236 OWL524167:OWM524236 PGH524167:PGI524236 PQD524167:PQE524236 PZZ524167:QAA524236 QJV524167:QJW524236 QTR524167:QTS524236 RDN524167:RDO524236 RNJ524167:RNK524236 RXF524167:RXG524236 SHB524167:SHC524236 SQX524167:SQY524236 TAT524167:TAU524236 TKP524167:TKQ524236 TUL524167:TUM524236 UEH524167:UEI524236 UOD524167:UOE524236 UXZ524167:UYA524236 VHV524167:VHW524236 VRR524167:VRS524236 WBN524167:WBO524236 WLJ524167:WLK524236 WVF524167:WVG524236 IT589703:IU589772 SP589703:SQ589772 ACL589703:ACM589772 AMH589703:AMI589772 AWD589703:AWE589772 BFZ589703:BGA589772 BPV589703:BPW589772 BZR589703:BZS589772 CJN589703:CJO589772 CTJ589703:CTK589772 DDF589703:DDG589772 DNB589703:DNC589772 DWX589703:DWY589772 EGT589703:EGU589772 EQP589703:EQQ589772 FAL589703:FAM589772 FKH589703:FKI589772 FUD589703:FUE589772 GDZ589703:GEA589772 GNV589703:GNW589772 GXR589703:GXS589772 HHN589703:HHO589772 HRJ589703:HRK589772 IBF589703:IBG589772 ILB589703:ILC589772 IUX589703:IUY589772 JET589703:JEU589772 JOP589703:JOQ589772 JYL589703:JYM589772 KIH589703:KII589772 KSD589703:KSE589772 LBZ589703:LCA589772 LLV589703:LLW589772 LVR589703:LVS589772 MFN589703:MFO589772 MPJ589703:MPK589772 MZF589703:MZG589772 NJB589703:NJC589772 NSX589703:NSY589772 OCT589703:OCU589772 OMP589703:OMQ589772 OWL589703:OWM589772 PGH589703:PGI589772 PQD589703:PQE589772 PZZ589703:QAA589772 QJV589703:QJW589772 QTR589703:QTS589772 RDN589703:RDO589772 RNJ589703:RNK589772 RXF589703:RXG589772 SHB589703:SHC589772 SQX589703:SQY589772 TAT589703:TAU589772 TKP589703:TKQ589772 TUL589703:TUM589772 UEH589703:UEI589772 UOD589703:UOE589772 UXZ589703:UYA589772 VHV589703:VHW589772 VRR589703:VRS589772 WBN589703:WBO589772 WLJ589703:WLK589772 WVF589703:WVG589772 IT655239:IU655308 SP655239:SQ655308 ACL655239:ACM655308 AMH655239:AMI655308 AWD655239:AWE655308 BFZ655239:BGA655308 BPV655239:BPW655308 BZR655239:BZS655308 CJN655239:CJO655308 CTJ655239:CTK655308 DDF655239:DDG655308 DNB655239:DNC655308 DWX655239:DWY655308 EGT655239:EGU655308 EQP655239:EQQ655308 FAL655239:FAM655308 FKH655239:FKI655308 FUD655239:FUE655308 GDZ655239:GEA655308 GNV655239:GNW655308 GXR655239:GXS655308 HHN655239:HHO655308 HRJ655239:HRK655308 IBF655239:IBG655308 ILB655239:ILC655308 IUX655239:IUY655308 JET655239:JEU655308 JOP655239:JOQ655308 JYL655239:JYM655308 KIH655239:KII655308 KSD655239:KSE655308 LBZ655239:LCA655308 LLV655239:LLW655308 LVR655239:LVS655308 MFN655239:MFO655308 MPJ655239:MPK655308 MZF655239:MZG655308 NJB655239:NJC655308 NSX655239:NSY655308 OCT655239:OCU655308 OMP655239:OMQ655308 OWL655239:OWM655308 PGH655239:PGI655308 PQD655239:PQE655308 PZZ655239:QAA655308 QJV655239:QJW655308 QTR655239:QTS655308 RDN655239:RDO655308 RNJ655239:RNK655308 RXF655239:RXG655308 SHB655239:SHC655308 SQX655239:SQY655308 TAT655239:TAU655308 TKP655239:TKQ655308 TUL655239:TUM655308 UEH655239:UEI655308 UOD655239:UOE655308 UXZ655239:UYA655308 VHV655239:VHW655308 VRR655239:VRS655308 WBN655239:WBO655308 WLJ655239:WLK655308 WVF655239:WVG655308 IT720775:IU720844 SP720775:SQ720844 ACL720775:ACM720844 AMH720775:AMI720844 AWD720775:AWE720844 BFZ720775:BGA720844 BPV720775:BPW720844 BZR720775:BZS720844 CJN720775:CJO720844 CTJ720775:CTK720844 DDF720775:DDG720844 DNB720775:DNC720844 DWX720775:DWY720844 EGT720775:EGU720844 EQP720775:EQQ720844 FAL720775:FAM720844 FKH720775:FKI720844 FUD720775:FUE720844 GDZ720775:GEA720844 GNV720775:GNW720844 GXR720775:GXS720844 HHN720775:HHO720844 HRJ720775:HRK720844 IBF720775:IBG720844 ILB720775:ILC720844 IUX720775:IUY720844 JET720775:JEU720844 JOP720775:JOQ720844 JYL720775:JYM720844 KIH720775:KII720844 KSD720775:KSE720844 LBZ720775:LCA720844 LLV720775:LLW720844 LVR720775:LVS720844 MFN720775:MFO720844 MPJ720775:MPK720844 MZF720775:MZG720844 NJB720775:NJC720844 NSX720775:NSY720844 OCT720775:OCU720844 OMP720775:OMQ720844 OWL720775:OWM720844 PGH720775:PGI720844 PQD720775:PQE720844 PZZ720775:QAA720844 QJV720775:QJW720844 QTR720775:QTS720844 RDN720775:RDO720844 RNJ720775:RNK720844 RXF720775:RXG720844 SHB720775:SHC720844 SQX720775:SQY720844 TAT720775:TAU720844 TKP720775:TKQ720844 TUL720775:TUM720844 UEH720775:UEI720844 UOD720775:UOE720844 UXZ720775:UYA720844 VHV720775:VHW720844 VRR720775:VRS720844 WBN720775:WBO720844 WLJ720775:WLK720844 WVF720775:WVG720844 IT786311:IU786380 SP786311:SQ786380 ACL786311:ACM786380 AMH786311:AMI786380 AWD786311:AWE786380 BFZ786311:BGA786380 BPV786311:BPW786380 BZR786311:BZS786380 CJN786311:CJO786380 CTJ786311:CTK786380 DDF786311:DDG786380 DNB786311:DNC786380 DWX786311:DWY786380 EGT786311:EGU786380 EQP786311:EQQ786380 FAL786311:FAM786380 FKH786311:FKI786380 FUD786311:FUE786380 GDZ786311:GEA786380 GNV786311:GNW786380 GXR786311:GXS786380 HHN786311:HHO786380 HRJ786311:HRK786380 IBF786311:IBG786380 ILB786311:ILC786380 IUX786311:IUY786380 JET786311:JEU786380 JOP786311:JOQ786380 JYL786311:JYM786380 KIH786311:KII786380 KSD786311:KSE786380 LBZ786311:LCA786380 LLV786311:LLW786380 LVR786311:LVS786380 MFN786311:MFO786380 MPJ786311:MPK786380 MZF786311:MZG786380 NJB786311:NJC786380 NSX786311:NSY786380 OCT786311:OCU786380 OMP786311:OMQ786380 OWL786311:OWM786380 PGH786311:PGI786380 PQD786311:PQE786380 PZZ786311:QAA786380 QJV786311:QJW786380 QTR786311:QTS786380 RDN786311:RDO786380 RNJ786311:RNK786380 RXF786311:RXG786380 SHB786311:SHC786380 SQX786311:SQY786380 TAT786311:TAU786380 TKP786311:TKQ786380 TUL786311:TUM786380 UEH786311:UEI786380 UOD786311:UOE786380 UXZ786311:UYA786380 VHV786311:VHW786380 VRR786311:VRS786380 WBN786311:WBO786380 WLJ786311:WLK786380 WVF786311:WVG786380 IT851847:IU851916 SP851847:SQ851916 ACL851847:ACM851916 AMH851847:AMI851916 AWD851847:AWE851916 BFZ851847:BGA851916 BPV851847:BPW851916 BZR851847:BZS851916 CJN851847:CJO851916 CTJ851847:CTK851916 DDF851847:DDG851916 DNB851847:DNC851916 DWX851847:DWY851916 EGT851847:EGU851916 EQP851847:EQQ851916 FAL851847:FAM851916 FKH851847:FKI851916 FUD851847:FUE851916 GDZ851847:GEA851916 GNV851847:GNW851916 GXR851847:GXS851916 HHN851847:HHO851916 HRJ851847:HRK851916 IBF851847:IBG851916 ILB851847:ILC851916 IUX851847:IUY851916 JET851847:JEU851916 JOP851847:JOQ851916 JYL851847:JYM851916 KIH851847:KII851916 KSD851847:KSE851916 LBZ851847:LCA851916 LLV851847:LLW851916 LVR851847:LVS851916 MFN851847:MFO851916 MPJ851847:MPK851916 MZF851847:MZG851916 NJB851847:NJC851916 NSX851847:NSY851916 OCT851847:OCU851916 OMP851847:OMQ851916 OWL851847:OWM851916 PGH851847:PGI851916 PQD851847:PQE851916 PZZ851847:QAA851916 QJV851847:QJW851916 QTR851847:QTS851916 RDN851847:RDO851916 RNJ851847:RNK851916 RXF851847:RXG851916 SHB851847:SHC851916 SQX851847:SQY851916 TAT851847:TAU851916 TKP851847:TKQ851916 TUL851847:TUM851916 UEH851847:UEI851916 UOD851847:UOE851916 UXZ851847:UYA851916 VHV851847:VHW851916 VRR851847:VRS851916 WBN851847:WBO851916 WLJ851847:WLK851916 WVF851847:WVG851916 IT917383:IU917452 SP917383:SQ917452 ACL917383:ACM917452 AMH917383:AMI917452 AWD917383:AWE917452 BFZ917383:BGA917452 BPV917383:BPW917452 BZR917383:BZS917452 CJN917383:CJO917452 CTJ917383:CTK917452 DDF917383:DDG917452 DNB917383:DNC917452 DWX917383:DWY917452 EGT917383:EGU917452 EQP917383:EQQ917452 FAL917383:FAM917452 FKH917383:FKI917452 FUD917383:FUE917452 GDZ917383:GEA917452 GNV917383:GNW917452 GXR917383:GXS917452 HHN917383:HHO917452 HRJ917383:HRK917452 IBF917383:IBG917452 ILB917383:ILC917452 IUX917383:IUY917452 JET917383:JEU917452 JOP917383:JOQ917452 JYL917383:JYM917452 KIH917383:KII917452 KSD917383:KSE917452 LBZ917383:LCA917452 LLV917383:LLW917452 LVR917383:LVS917452 MFN917383:MFO917452 MPJ917383:MPK917452 MZF917383:MZG917452 NJB917383:NJC917452 NSX917383:NSY917452 OCT917383:OCU917452 OMP917383:OMQ917452 OWL917383:OWM917452 PGH917383:PGI917452 PQD917383:PQE917452 PZZ917383:QAA917452 QJV917383:QJW917452 QTR917383:QTS917452 RDN917383:RDO917452 RNJ917383:RNK917452 RXF917383:RXG917452 SHB917383:SHC917452 SQX917383:SQY917452 TAT917383:TAU917452 TKP917383:TKQ917452 TUL917383:TUM917452 UEH917383:UEI917452 UOD917383:UOE917452 UXZ917383:UYA917452 VHV917383:VHW917452 VRR917383:VRS917452 WBN917383:WBO917452 WLJ917383:WLK917452 WVF917383:WVG917452 IT982919:IU982988 SP982919:SQ982988 ACL982919:ACM982988 AMH982919:AMI982988 AWD982919:AWE982988 BFZ982919:BGA982988 BPV982919:BPW982988 BZR982919:BZS982988 CJN982919:CJO982988 CTJ982919:CTK982988 DDF982919:DDG982988 DNB982919:DNC982988 DWX982919:DWY982988 EGT982919:EGU982988 EQP982919:EQQ982988 FAL982919:FAM982988 FKH982919:FKI982988 FUD982919:FUE982988 GDZ982919:GEA982988 GNV982919:GNW982988 GXR982919:GXS982988 HHN982919:HHO982988 HRJ982919:HRK982988 IBF982919:IBG982988 ILB982919:ILC982988 IUX982919:IUY982988 JET982919:JEU982988 JOP982919:JOQ982988 JYL982919:JYM982988 KIH982919:KII982988 KSD982919:KSE982988 LBZ982919:LCA982988 LLV982919:LLW982988 LVR982919:LVS982988 MFN982919:MFO982988 MPJ982919:MPK982988 MZF982919:MZG982988 NJB982919:NJC982988 NSX982919:NSY982988 OCT982919:OCU982988 OMP982919:OMQ982988 OWL982919:OWM982988 PGH982919:PGI982988 PQD982919:PQE982988 PZZ982919:QAA982988 QJV982919:QJW982988 QTR982919:QTS982988 RDN982919:RDO982988 RNJ982919:RNK982988 RXF982919:RXG982988 SHB982919:SHC982988 SQX982919:SQY982988 TAT982919:TAU982988 TKP982919:TKQ982988 TUL982919:TUM982988 UEH982919:UEI982988 UOD982919:UOE982988 UXZ982919:UYA982988 VHV982919:VHW982988 VRR982919:VRS982988 WBN982919:WBO982988 WLJ982919:WLK982988 WVF982919:WVG982988 BFZ4:BGA23 BPV4:BPW23 BZR4:BZS23 CJN4:CJO23 CTJ4:CTK23 DDF4:DDG23 DNB4:DNC23 DWX4:DWY23 EGT4:EGU23 EQP4:EQQ23 FAL4:FAM23 FKH4:FKI23 FUD4:FUE23 GDZ4:GEA23 GNV4:GNW23 GXR4:GXS23 HHN4:HHO23 HRJ4:HRK23 IBF4:IBG23 ILB4:ILC23 IUX4:IUY23 JET4:JEU23 JOP4:JOQ23 JYL4:JYM23 KIH4:KII23 KSD4:KSE23 LBZ4:LCA23 LLV4:LLW23 LVR4:LVS23 MFN4:MFO23 MPJ4:MPK23 MZF4:MZG23 NJB4:NJC23 NSX4:NSY23 OCT4:OCU23 OMP4:OMQ23 OWL4:OWM23 PGH4:PGI23 PQD4:PQE23 PZZ4:QAA23 QJV4:QJW23 QTR4:QTS23 RDN4:RDO23 RNJ4:RNK23 RXF4:RXG23 SHB4:SHC23 SQX4:SQY23 TAT4:TAU23 TKP4:TKQ23 TUL4:TUM23 UEH4:UEI23 UOD4:UOE23 UXZ4:UYA23 VHV4:VHW23 VRR4:VRS23 WLJ4:WLK23 WBN4:WBO23 WVF4:WVG23 IT4:IU23 SP4:SQ23 ACL4:ACM23 AMH4:AMI23 AWD4:AWE23" xr:uid="{F7018860-1990-46EF-AB91-C5E3C7557B3A}">
      <formula1>"-,○,●"</formula1>
    </dataValidation>
  </dataValidations>
  <pageMargins left="0.43307086614173229" right="0.39370078740157483" top="0.51181102362204722" bottom="0.55118110236220474" header="0.31496062992125984" footer="0.31496062992125984"/>
  <pageSetup paperSize="9" scale="41" fitToHeight="0" orientation="landscape" r:id="rId1"/>
  <headerFooter>
    <oddFooter>&amp;C&amp;"ＭＳ Ｐ明朝,標準"&amp;P/&amp;N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E12CD6-B670-4900-A671-6478BB4F8A39}">
          <x14:formula1>
            <xm:f>リスト!$J$101:$J$103</xm:f>
          </x14:formula1>
          <xm:sqref>P4:P23</xm:sqref>
        </x14:dataValidation>
        <x14:dataValidation type="list" allowBlank="1" showInputMessage="1" showErrorMessage="1" xr:uid="{A8E37B07-74E0-466B-B887-B29BD6798FD5}">
          <x14:formula1>
            <xm:f>リスト!$J$78:$J$84</xm:f>
          </x14:formula1>
          <xm:sqref>T4:T23</xm:sqref>
        </x14:dataValidation>
        <x14:dataValidation type="list" allowBlank="1" showInputMessage="1" showErrorMessage="1" xr:uid="{A9BED64C-4FCD-49F7-89B6-3CA4AAB544BB}">
          <x14:formula1>
            <xm:f>リスト!$J$94:$J$97</xm:f>
          </x14:formula1>
          <xm:sqref>U4:U23</xm:sqref>
        </x14:dataValidation>
        <x14:dataValidation type="list" allowBlank="1" showInputMessage="1" showErrorMessage="1" xr:uid="{ED913B91-3845-4B1C-B6A0-E1819499E59A}">
          <x14:formula1>
            <xm:f>リスト!$J$40:$J$43</xm:f>
          </x14:formula1>
          <xm:sqref>N4:N23</xm:sqref>
        </x14:dataValidation>
        <x14:dataValidation type="list" allowBlank="1" showInputMessage="1" showErrorMessage="1" xr:uid="{085E1275-F408-4D3C-A9EC-4E2DC37FA6FC}">
          <x14:formula1>
            <xm:f>リスト!$J$33:$J$36</xm:f>
          </x14:formula1>
          <xm:sqref>M4:M23</xm:sqref>
        </x14:dataValidation>
        <x14:dataValidation type="list" allowBlank="1" showInputMessage="1" showErrorMessage="1" xr:uid="{3D31BDD3-EA3B-4AD3-979C-CEF1AFDC3B99}">
          <x14:formula1>
            <xm:f>リスト!$J$26:$J$29</xm:f>
          </x14:formula1>
          <xm:sqref>L4:L23</xm:sqref>
        </x14:dataValidation>
        <x14:dataValidation type="list" allowBlank="1" showInputMessage="1" showErrorMessage="1" xr:uid="{1D373D83-EBE0-49B1-B1FF-C957B22D172A}">
          <x14:formula1>
            <xm:f>リスト!$J$7:$J$22</xm:f>
          </x14:formula1>
          <xm:sqref>H4:H23</xm:sqref>
        </x14:dataValidation>
        <x14:dataValidation type="list" allowBlank="1" showInputMessage="1" xr:uid="{5C9D3D74-7707-4C1A-AF99-2DFAA0DEC860}">
          <x14:formula1>
            <xm:f>リスト!$J$47:$J$74</xm:f>
          </x14:formula1>
          <xm:sqref>O4:O23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P51"/>
  <sheetViews>
    <sheetView showGridLines="0" view="pageBreakPreview" zoomScaleNormal="115" zoomScaleSheetLayoutView="100" workbookViewId="0">
      <pane ySplit="2" topLeftCell="A3" activePane="bottomLeft" state="frozen"/>
      <selection pane="bottomLeft" activeCell="I31" sqref="I31"/>
    </sheetView>
  </sheetViews>
  <sheetFormatPr defaultColWidth="2.7109375" defaultRowHeight="12" customHeight="1"/>
  <cols>
    <col min="1" max="1" width="2.7109375" style="3"/>
    <col min="2" max="2" width="9.42578125" style="3" bestFit="1" customWidth="1"/>
    <col min="3" max="3" width="24.140625" style="3" bestFit="1" customWidth="1"/>
    <col min="4" max="4" width="2.7109375" style="4"/>
    <col min="5" max="5" width="64.7109375" style="4" customWidth="1"/>
    <col min="6" max="6" width="2.7109375" style="4" customWidth="1"/>
    <col min="7" max="7" width="52.140625" style="4" customWidth="1"/>
    <col min="8" max="8" width="8" style="4" bestFit="1" customWidth="1"/>
    <col min="9" max="9" width="36.42578125" style="4" customWidth="1"/>
    <col min="10" max="10" width="66" style="4" customWidth="1"/>
    <col min="11" max="11" width="2.7109375" style="4"/>
    <col min="12" max="12" width="9.42578125" style="21" bestFit="1" customWidth="1"/>
    <col min="13" max="13" width="14.140625" style="4" bestFit="1" customWidth="1"/>
    <col min="14" max="15" width="14.140625" style="4" customWidth="1"/>
    <col min="16" max="16" width="15.5703125" style="4" bestFit="1" customWidth="1"/>
    <col min="17" max="16384" width="2.7109375" style="3"/>
  </cols>
  <sheetData>
    <row r="1" spans="1:16" ht="12" customHeight="1">
      <c r="A1" s="28"/>
      <c r="L1" s="101" t="s">
        <v>40</v>
      </c>
      <c r="M1" s="101" t="s">
        <v>41</v>
      </c>
      <c r="N1" s="64" t="s">
        <v>42</v>
      </c>
      <c r="O1" s="63" t="s">
        <v>43</v>
      </c>
      <c r="P1" s="101" t="s">
        <v>44</v>
      </c>
    </row>
    <row r="2" spans="1:16" ht="12" customHeight="1">
      <c r="A2" s="4"/>
      <c r="B2" s="16" t="s">
        <v>128</v>
      </c>
      <c r="C2" s="43" t="s">
        <v>129</v>
      </c>
      <c r="D2" s="102"/>
      <c r="E2" s="103" t="s">
        <v>45</v>
      </c>
      <c r="F2" s="295"/>
      <c r="G2" s="103" t="s">
        <v>45</v>
      </c>
      <c r="H2" s="16" t="s">
        <v>130</v>
      </c>
      <c r="I2" s="16" t="s">
        <v>131</v>
      </c>
      <c r="J2" s="43" t="s">
        <v>53</v>
      </c>
      <c r="L2" s="51"/>
      <c r="M2" s="88"/>
      <c r="N2" s="88"/>
      <c r="O2" s="88"/>
      <c r="P2" s="88"/>
    </row>
    <row r="3" spans="1:16">
      <c r="A3" s="4"/>
      <c r="B3" s="15" t="s">
        <v>120</v>
      </c>
      <c r="C3" s="42" t="s">
        <v>288</v>
      </c>
      <c r="D3" s="17">
        <v>1</v>
      </c>
      <c r="E3" s="300" t="s">
        <v>381</v>
      </c>
      <c r="F3" s="296"/>
      <c r="G3" s="137"/>
      <c r="H3" s="138"/>
      <c r="I3" s="17"/>
      <c r="J3" s="61"/>
      <c r="L3" s="27"/>
      <c r="M3" s="88"/>
      <c r="N3" s="88"/>
      <c r="O3" s="88"/>
      <c r="P3" s="88"/>
    </row>
    <row r="4" spans="1:16">
      <c r="A4" s="4"/>
      <c r="B4" s="47" t="str">
        <f t="shared" ref="B4" si="0">B3</f>
        <v>A001</v>
      </c>
      <c r="C4" s="48" t="str">
        <f t="shared" ref="C4" si="1">C3</f>
        <v>ファイル選択押下</v>
      </c>
      <c r="D4" s="57"/>
      <c r="E4" s="307" t="s">
        <v>382</v>
      </c>
      <c r="F4" s="297"/>
      <c r="G4" s="139"/>
      <c r="H4" s="57"/>
      <c r="I4" s="57"/>
      <c r="J4" s="50"/>
      <c r="L4" s="27"/>
      <c r="M4" s="88"/>
      <c r="N4" s="88"/>
      <c r="O4" s="88"/>
      <c r="P4" s="88"/>
    </row>
    <row r="5" spans="1:16" ht="12.6" customHeight="1">
      <c r="A5" s="4"/>
      <c r="B5" s="15" t="s">
        <v>133</v>
      </c>
      <c r="C5" s="42" t="s">
        <v>289</v>
      </c>
      <c r="D5" s="17">
        <v>1</v>
      </c>
      <c r="E5" s="300" t="s">
        <v>383</v>
      </c>
      <c r="F5" s="296"/>
      <c r="G5" s="67"/>
      <c r="H5" s="17"/>
      <c r="I5" s="17"/>
      <c r="J5" s="61"/>
      <c r="L5" s="27"/>
      <c r="M5" s="88"/>
      <c r="N5" s="88"/>
      <c r="O5" s="88"/>
      <c r="P5" s="88"/>
    </row>
    <row r="6" spans="1:16" ht="12.6" customHeight="1">
      <c r="A6" s="4"/>
      <c r="B6" s="286"/>
      <c r="C6" s="202"/>
      <c r="D6" s="284"/>
      <c r="E6" s="306" t="s">
        <v>384</v>
      </c>
      <c r="F6" s="298"/>
      <c r="G6" s="287"/>
      <c r="H6" s="284"/>
      <c r="I6" s="284"/>
      <c r="J6" s="288"/>
      <c r="L6" s="27"/>
      <c r="M6" s="88"/>
      <c r="N6" s="88"/>
      <c r="O6" s="88"/>
      <c r="P6" s="88"/>
    </row>
    <row r="7" spans="1:16" ht="12.6" customHeight="1">
      <c r="A7" s="4"/>
      <c r="B7" s="286"/>
      <c r="C7" s="202"/>
      <c r="D7" s="284"/>
      <c r="E7" s="306" t="s">
        <v>385</v>
      </c>
      <c r="F7" s="298"/>
      <c r="G7" s="287"/>
      <c r="H7" s="284"/>
      <c r="I7" s="284" t="s">
        <v>481</v>
      </c>
      <c r="J7" s="288" t="s">
        <v>292</v>
      </c>
      <c r="L7" s="27"/>
      <c r="M7" s="88"/>
      <c r="N7" s="88"/>
      <c r="O7" s="88"/>
      <c r="P7" s="88"/>
    </row>
    <row r="8" spans="1:16" ht="12.6" customHeight="1">
      <c r="A8" s="4"/>
      <c r="B8" s="286"/>
      <c r="C8" s="202"/>
      <c r="D8" s="284">
        <v>2</v>
      </c>
      <c r="E8" s="302" t="s">
        <v>386</v>
      </c>
      <c r="F8" s="298"/>
      <c r="G8" s="287"/>
      <c r="H8" s="284"/>
      <c r="I8" s="284"/>
      <c r="J8" s="288"/>
      <c r="L8" s="27"/>
      <c r="M8" s="88"/>
      <c r="N8" s="88"/>
      <c r="O8" s="88"/>
      <c r="P8" s="88"/>
    </row>
    <row r="9" spans="1:16" ht="12.6" customHeight="1">
      <c r="A9" s="4"/>
      <c r="B9" s="286"/>
      <c r="C9" s="202"/>
      <c r="D9" s="284"/>
      <c r="E9" s="306" t="s">
        <v>387</v>
      </c>
      <c r="F9" s="298"/>
      <c r="G9" s="287"/>
      <c r="H9" s="284"/>
      <c r="I9" s="284"/>
      <c r="J9" s="288"/>
      <c r="L9" s="27"/>
      <c r="M9" s="88"/>
      <c r="N9" s="88"/>
      <c r="O9" s="88"/>
      <c r="P9" s="88"/>
    </row>
    <row r="10" spans="1:16" ht="12.6" customHeight="1">
      <c r="A10" s="4"/>
      <c r="B10" s="286"/>
      <c r="C10" s="202"/>
      <c r="D10" s="284"/>
      <c r="E10" s="306" t="s">
        <v>385</v>
      </c>
      <c r="F10" s="298"/>
      <c r="G10" s="287"/>
      <c r="H10" s="284"/>
      <c r="I10" s="284" t="s">
        <v>482</v>
      </c>
      <c r="J10" s="288" t="s">
        <v>291</v>
      </c>
      <c r="L10" s="27"/>
      <c r="M10" s="88"/>
      <c r="N10" s="88"/>
      <c r="O10" s="88"/>
      <c r="P10" s="88"/>
    </row>
    <row r="11" spans="1:16" ht="12.6" customHeight="1">
      <c r="A11" s="4"/>
      <c r="B11" s="286"/>
      <c r="C11" s="202"/>
      <c r="D11" s="284">
        <v>3</v>
      </c>
      <c r="E11" s="302" t="s">
        <v>388</v>
      </c>
      <c r="F11" s="298"/>
      <c r="G11" s="287"/>
      <c r="H11" s="284"/>
      <c r="I11" s="284"/>
      <c r="J11" s="288"/>
      <c r="L11" s="27"/>
      <c r="M11" s="88"/>
      <c r="N11" s="88"/>
      <c r="O11" s="88"/>
      <c r="P11" s="88"/>
    </row>
    <row r="12" spans="1:16" ht="12.6" customHeight="1">
      <c r="A12" s="4"/>
      <c r="B12" s="286"/>
      <c r="C12" s="202"/>
      <c r="D12" s="284"/>
      <c r="E12" s="306" t="s">
        <v>389</v>
      </c>
      <c r="F12" s="298"/>
      <c r="G12" s="287"/>
      <c r="H12" s="284"/>
      <c r="I12" s="284"/>
      <c r="J12" s="288"/>
      <c r="L12" s="27"/>
      <c r="M12" s="88"/>
      <c r="N12" s="88"/>
      <c r="O12" s="88"/>
      <c r="P12" s="88"/>
    </row>
    <row r="13" spans="1:16" ht="12.6" customHeight="1">
      <c r="A13" s="4"/>
      <c r="B13" s="286"/>
      <c r="C13" s="202"/>
      <c r="D13" s="284"/>
      <c r="E13" s="306" t="s">
        <v>390</v>
      </c>
      <c r="F13" s="298"/>
      <c r="G13" s="287"/>
      <c r="H13" s="284"/>
      <c r="I13" s="284"/>
      <c r="J13" s="288"/>
      <c r="L13" s="27"/>
      <c r="M13" s="88"/>
      <c r="N13" s="88"/>
      <c r="O13" s="88"/>
      <c r="P13" s="88"/>
    </row>
    <row r="14" spans="1:16" ht="12.6" customHeight="1">
      <c r="A14" s="4"/>
      <c r="B14" s="286"/>
      <c r="C14" s="202"/>
      <c r="D14" s="284"/>
      <c r="E14" s="306" t="s">
        <v>391</v>
      </c>
      <c r="F14" s="298"/>
      <c r="G14" s="287"/>
      <c r="H14" s="284"/>
      <c r="I14" s="284" t="s">
        <v>293</v>
      </c>
      <c r="J14" s="285" t="s">
        <v>294</v>
      </c>
      <c r="L14" s="27"/>
      <c r="M14" s="88"/>
      <c r="N14" s="88"/>
      <c r="O14" s="88"/>
      <c r="P14" s="88"/>
    </row>
    <row r="15" spans="1:16" ht="12.6" customHeight="1">
      <c r="A15" s="4"/>
      <c r="B15" s="286"/>
      <c r="C15" s="202"/>
      <c r="D15" s="284">
        <v>4</v>
      </c>
      <c r="E15" s="302" t="s">
        <v>392</v>
      </c>
      <c r="F15" s="298"/>
      <c r="G15" s="287"/>
      <c r="H15" s="284"/>
      <c r="I15" s="284"/>
      <c r="J15" s="288"/>
      <c r="L15" s="27"/>
      <c r="M15" s="88"/>
      <c r="N15" s="88"/>
      <c r="O15" s="88"/>
      <c r="P15" s="88"/>
    </row>
    <row r="16" spans="1:16" ht="12.6" customHeight="1">
      <c r="A16" s="4"/>
      <c r="B16" s="286"/>
      <c r="C16" s="202"/>
      <c r="D16" s="284"/>
      <c r="E16" s="302" t="s">
        <v>393</v>
      </c>
      <c r="F16" s="298"/>
      <c r="G16" s="287"/>
      <c r="H16" s="284"/>
      <c r="I16" s="284" t="s">
        <v>295</v>
      </c>
      <c r="J16" s="288" t="s">
        <v>296</v>
      </c>
      <c r="L16" s="27"/>
      <c r="M16" s="88"/>
      <c r="N16" s="88"/>
      <c r="O16" s="88"/>
      <c r="P16" s="88"/>
    </row>
    <row r="17" spans="1:16" ht="12.6" customHeight="1">
      <c r="A17" s="4"/>
      <c r="B17" s="286"/>
      <c r="C17" s="202"/>
      <c r="D17" s="284"/>
      <c r="E17" s="302" t="s">
        <v>394</v>
      </c>
      <c r="F17" s="298"/>
      <c r="G17" s="287"/>
      <c r="H17" s="284"/>
      <c r="I17" s="284"/>
      <c r="J17" s="288"/>
      <c r="L17" s="27"/>
      <c r="M17" s="88"/>
      <c r="N17" s="88"/>
      <c r="O17" s="88"/>
      <c r="P17" s="88"/>
    </row>
    <row r="18" spans="1:16" ht="12.6" customHeight="1">
      <c r="A18" s="4"/>
      <c r="B18" s="286"/>
      <c r="C18" s="202"/>
      <c r="D18" s="284"/>
      <c r="E18" s="306" t="s">
        <v>395</v>
      </c>
      <c r="F18" s="298"/>
      <c r="G18" s="289"/>
      <c r="H18" s="284"/>
      <c r="I18" s="284" t="s">
        <v>297</v>
      </c>
      <c r="J18" s="288" t="s">
        <v>298</v>
      </c>
      <c r="L18" s="27"/>
      <c r="M18" s="88"/>
      <c r="N18" s="88"/>
      <c r="O18" s="88"/>
      <c r="P18" s="88"/>
    </row>
    <row r="19" spans="1:16" ht="12.6" customHeight="1">
      <c r="A19" s="4"/>
      <c r="B19" s="286"/>
      <c r="C19" s="202"/>
      <c r="D19" s="284">
        <v>5</v>
      </c>
      <c r="E19" s="302" t="s">
        <v>396</v>
      </c>
      <c r="F19" s="298"/>
      <c r="G19" s="287"/>
      <c r="H19" s="284"/>
      <c r="I19" s="284"/>
      <c r="J19" s="288"/>
      <c r="L19" s="27"/>
      <c r="M19" s="88"/>
      <c r="N19" s="88"/>
      <c r="O19" s="88"/>
      <c r="P19" s="88"/>
    </row>
    <row r="20" spans="1:16" ht="12.6" customHeight="1">
      <c r="A20" s="4"/>
      <c r="B20" s="286"/>
      <c r="C20" s="202"/>
      <c r="D20" s="284"/>
      <c r="E20" s="302" t="s">
        <v>403</v>
      </c>
      <c r="F20" s="298"/>
      <c r="G20" s="287"/>
      <c r="H20" s="284"/>
      <c r="I20" s="284"/>
      <c r="J20" s="288"/>
      <c r="L20" s="27"/>
      <c r="M20" s="88"/>
      <c r="N20" s="88"/>
      <c r="O20" s="88"/>
      <c r="P20" s="88"/>
    </row>
    <row r="21" spans="1:16" ht="12.6" customHeight="1">
      <c r="A21" s="4"/>
      <c r="B21" s="286"/>
      <c r="C21" s="202"/>
      <c r="D21" s="284"/>
      <c r="E21" s="302" t="s">
        <v>397</v>
      </c>
      <c r="F21" s="298"/>
      <c r="G21" s="289"/>
      <c r="H21" s="284"/>
      <c r="I21" s="284"/>
      <c r="J21" s="288"/>
      <c r="L21" s="27"/>
      <c r="M21" s="88"/>
      <c r="N21" s="88"/>
      <c r="O21" s="88"/>
      <c r="P21" s="88"/>
    </row>
    <row r="22" spans="1:16" ht="12.6" customHeight="1">
      <c r="A22" s="4"/>
      <c r="B22" s="286"/>
      <c r="C22" s="202"/>
      <c r="D22" s="284"/>
      <c r="E22" s="302" t="s">
        <v>398</v>
      </c>
      <c r="F22" s="298"/>
      <c r="G22" s="287"/>
      <c r="H22" s="284"/>
      <c r="I22" s="284"/>
      <c r="J22" s="288"/>
      <c r="L22" s="27"/>
      <c r="M22" s="88"/>
      <c r="N22" s="88"/>
      <c r="O22" s="88"/>
      <c r="P22" s="88"/>
    </row>
    <row r="23" spans="1:16" ht="12.6" customHeight="1">
      <c r="A23" s="4"/>
      <c r="B23" s="286"/>
      <c r="C23" s="202"/>
      <c r="D23" s="284"/>
      <c r="E23" s="306" t="s">
        <v>399</v>
      </c>
      <c r="F23" s="298"/>
      <c r="G23" s="289"/>
      <c r="H23" s="284"/>
      <c r="I23" s="284"/>
      <c r="J23" s="288"/>
      <c r="L23" s="27"/>
      <c r="M23" s="88"/>
      <c r="N23" s="88"/>
      <c r="O23" s="88"/>
      <c r="P23" s="88"/>
    </row>
    <row r="24" spans="1:16" ht="12.6" customHeight="1">
      <c r="A24" s="4"/>
      <c r="B24" s="286"/>
      <c r="C24" s="202"/>
      <c r="D24" s="284"/>
      <c r="E24" s="302" t="s">
        <v>400</v>
      </c>
      <c r="F24" s="298"/>
      <c r="G24" s="287"/>
      <c r="H24" s="284" t="s">
        <v>132</v>
      </c>
      <c r="I24" s="284"/>
      <c r="J24" s="288"/>
      <c r="L24" s="27"/>
      <c r="M24" s="88"/>
      <c r="N24" s="88"/>
      <c r="O24" s="88"/>
      <c r="P24" s="88"/>
    </row>
    <row r="25" spans="1:16" ht="12.6" customHeight="1">
      <c r="A25" s="4"/>
      <c r="B25" s="286"/>
      <c r="C25" s="202"/>
      <c r="D25" s="284"/>
      <c r="E25" s="306" t="s">
        <v>401</v>
      </c>
      <c r="F25" s="298"/>
      <c r="G25" s="287"/>
      <c r="H25" s="284"/>
      <c r="I25" s="284"/>
      <c r="J25" s="288"/>
      <c r="L25" s="27"/>
      <c r="M25" s="88"/>
      <c r="N25" s="88"/>
      <c r="O25" s="88"/>
      <c r="P25" s="88"/>
    </row>
    <row r="26" spans="1:16" ht="12.6" customHeight="1">
      <c r="A26" s="4"/>
      <c r="B26" s="286"/>
      <c r="C26" s="202"/>
      <c r="D26" s="284"/>
      <c r="E26" s="306" t="s">
        <v>407</v>
      </c>
      <c r="F26" s="298"/>
      <c r="G26" s="287"/>
      <c r="H26" s="284"/>
      <c r="I26" s="284" t="s">
        <v>314</v>
      </c>
      <c r="J26" s="288"/>
      <c r="L26" s="27"/>
      <c r="M26" s="88"/>
      <c r="N26" s="88"/>
      <c r="O26" s="88"/>
      <c r="P26" s="88"/>
    </row>
    <row r="27" spans="1:16" ht="12.6" customHeight="1">
      <c r="A27" s="4"/>
      <c r="B27" s="286"/>
      <c r="C27" s="202"/>
      <c r="D27" s="284"/>
      <c r="E27" s="306" t="s">
        <v>402</v>
      </c>
      <c r="F27" s="298"/>
      <c r="G27" s="287"/>
      <c r="H27" s="284"/>
      <c r="I27" s="284"/>
      <c r="J27" s="288"/>
      <c r="L27" s="27"/>
      <c r="M27" s="88"/>
      <c r="N27" s="88"/>
      <c r="O27" s="88"/>
      <c r="P27" s="88"/>
    </row>
    <row r="28" spans="1:16" ht="12.6" customHeight="1">
      <c r="A28" s="4"/>
      <c r="B28" s="286"/>
      <c r="C28" s="202"/>
      <c r="D28" s="284">
        <v>6</v>
      </c>
      <c r="E28" s="309" t="s">
        <v>404</v>
      </c>
      <c r="F28" s="298"/>
      <c r="G28" s="287"/>
      <c r="H28" s="284"/>
      <c r="I28" s="284"/>
      <c r="J28" s="288"/>
      <c r="L28" s="27"/>
      <c r="M28" s="88"/>
      <c r="N28" s="88"/>
      <c r="O28" s="88"/>
      <c r="P28" s="88"/>
    </row>
    <row r="29" spans="1:16" ht="12.6" customHeight="1">
      <c r="A29" s="4"/>
      <c r="B29" s="286"/>
      <c r="C29" s="202"/>
      <c r="D29" s="284"/>
      <c r="E29" s="308" t="s">
        <v>405</v>
      </c>
      <c r="F29" s="298"/>
      <c r="G29" s="287"/>
      <c r="H29" s="284"/>
      <c r="I29" s="284"/>
      <c r="J29" s="288"/>
      <c r="L29" s="27"/>
      <c r="M29" s="88"/>
      <c r="N29" s="88"/>
      <c r="O29" s="88"/>
      <c r="P29" s="88"/>
    </row>
    <row r="30" spans="1:16" ht="12.6" customHeight="1">
      <c r="A30" s="4"/>
      <c r="B30" s="286"/>
      <c r="C30" s="202"/>
      <c r="D30" s="368"/>
      <c r="E30" s="304" t="s">
        <v>406</v>
      </c>
      <c r="F30" s="298"/>
      <c r="G30" s="287"/>
      <c r="H30" s="284"/>
      <c r="I30" s="284"/>
      <c r="J30" s="288"/>
      <c r="L30" s="27"/>
      <c r="M30" s="88"/>
      <c r="N30" s="88"/>
      <c r="O30" s="88"/>
      <c r="P30" s="88"/>
    </row>
    <row r="31" spans="1:16">
      <c r="A31" s="4"/>
      <c r="B31" s="47"/>
      <c r="C31" s="48"/>
      <c r="D31" s="59">
        <v>7</v>
      </c>
      <c r="E31" s="304" t="s">
        <v>483</v>
      </c>
      <c r="F31" s="297"/>
      <c r="G31" s="58"/>
      <c r="H31" s="57"/>
      <c r="I31" s="57" t="s">
        <v>484</v>
      </c>
      <c r="J31" s="50"/>
      <c r="L31" s="27"/>
      <c r="M31" s="88"/>
      <c r="N31" s="88"/>
      <c r="O31" s="88"/>
      <c r="P31" s="88"/>
    </row>
    <row r="32" spans="1:16" ht="12" customHeight="1">
      <c r="A32" s="4"/>
      <c r="B32" s="15" t="s">
        <v>58</v>
      </c>
      <c r="C32" s="42" t="s">
        <v>328</v>
      </c>
      <c r="D32" s="17">
        <v>1</v>
      </c>
      <c r="E32" s="300" t="s">
        <v>331</v>
      </c>
      <c r="F32" s="296"/>
      <c r="G32" s="67"/>
      <c r="H32" s="17" t="s">
        <v>83</v>
      </c>
      <c r="I32" s="17"/>
      <c r="J32" s="61"/>
      <c r="L32" s="27"/>
      <c r="M32" s="88"/>
      <c r="N32" s="88"/>
      <c r="O32" s="88"/>
      <c r="P32" s="88"/>
    </row>
    <row r="33" spans="1:16" ht="12" customHeight="1">
      <c r="A33" s="4"/>
      <c r="B33" s="47"/>
      <c r="C33" s="48"/>
      <c r="D33" s="57"/>
      <c r="E33" s="301" t="s">
        <v>332</v>
      </c>
      <c r="F33" s="297"/>
      <c r="G33" s="58"/>
      <c r="H33" s="57"/>
      <c r="I33" s="57"/>
      <c r="J33" s="56"/>
      <c r="L33" s="27"/>
      <c r="M33" s="88"/>
      <c r="N33" s="88"/>
      <c r="O33" s="88"/>
      <c r="P33" s="88"/>
    </row>
    <row r="34" spans="1:16" ht="12" customHeight="1">
      <c r="A34" s="4"/>
      <c r="B34" s="47"/>
      <c r="C34" s="48"/>
      <c r="D34" s="57"/>
      <c r="E34" s="301" t="s">
        <v>333</v>
      </c>
      <c r="F34" s="297"/>
      <c r="G34" s="139"/>
      <c r="H34" s="57"/>
      <c r="I34" s="57" t="s">
        <v>295</v>
      </c>
      <c r="J34" s="50" t="s">
        <v>377</v>
      </c>
      <c r="L34" s="27"/>
      <c r="M34" s="88"/>
      <c r="N34" s="88"/>
      <c r="O34" s="88"/>
      <c r="P34" s="88"/>
    </row>
    <row r="35" spans="1:16" ht="12" customHeight="1">
      <c r="A35" s="4"/>
      <c r="B35" s="47"/>
      <c r="C35" s="48"/>
      <c r="D35" s="57">
        <v>2</v>
      </c>
      <c r="E35" s="309" t="s">
        <v>334</v>
      </c>
      <c r="F35" s="297"/>
      <c r="G35" s="139"/>
      <c r="H35" s="57"/>
      <c r="I35" s="57"/>
      <c r="J35" s="50"/>
      <c r="L35" s="27"/>
      <c r="M35" s="88"/>
      <c r="N35" s="88"/>
      <c r="O35" s="88"/>
      <c r="P35" s="88"/>
    </row>
    <row r="36" spans="1:16" ht="12" customHeight="1">
      <c r="A36" s="4"/>
      <c r="B36" s="47"/>
      <c r="C36" s="48"/>
      <c r="D36" s="85"/>
      <c r="E36" s="303" t="s">
        <v>335</v>
      </c>
      <c r="F36" s="299"/>
      <c r="G36" s="305"/>
      <c r="H36" s="85"/>
      <c r="I36" s="85"/>
      <c r="J36" s="141"/>
      <c r="L36" s="27"/>
      <c r="M36" s="88"/>
      <c r="N36" s="88"/>
      <c r="O36" s="88"/>
      <c r="P36" s="88"/>
    </row>
    <row r="37" spans="1:16" ht="12" customHeight="1">
      <c r="A37" s="4"/>
      <c r="B37" s="47"/>
      <c r="C37" s="48"/>
      <c r="D37" s="85"/>
      <c r="E37" s="310" t="s">
        <v>414</v>
      </c>
      <c r="F37" s="299"/>
      <c r="G37" s="305"/>
      <c r="H37" s="85"/>
      <c r="I37" s="85"/>
      <c r="J37" s="141"/>
      <c r="L37" s="27"/>
      <c r="M37" s="88"/>
      <c r="N37" s="88"/>
      <c r="O37" s="88"/>
      <c r="P37" s="88"/>
    </row>
    <row r="38" spans="1:16" ht="12" customHeight="1">
      <c r="A38" s="4"/>
      <c r="B38" s="47"/>
      <c r="C38" s="48"/>
      <c r="D38" s="85"/>
      <c r="E38" s="310" t="s">
        <v>413</v>
      </c>
      <c r="F38" s="299"/>
      <c r="G38" s="305"/>
      <c r="H38" s="85"/>
      <c r="I38" s="85"/>
      <c r="J38" s="141"/>
      <c r="L38" s="27"/>
      <c r="M38" s="88"/>
      <c r="N38" s="88"/>
      <c r="O38" s="88"/>
      <c r="P38" s="88"/>
    </row>
    <row r="39" spans="1:16" ht="12" customHeight="1">
      <c r="A39" s="4"/>
      <c r="B39" s="47"/>
      <c r="C39" s="48"/>
      <c r="D39" s="85">
        <v>3</v>
      </c>
      <c r="E39" s="303" t="s">
        <v>336</v>
      </c>
      <c r="F39" s="299"/>
      <c r="G39" s="305"/>
      <c r="H39" s="85"/>
      <c r="I39" s="85"/>
      <c r="J39" s="141"/>
      <c r="L39" s="27"/>
      <c r="M39" s="88"/>
      <c r="N39" s="88"/>
      <c r="O39" s="88"/>
      <c r="P39" s="88"/>
    </row>
    <row r="40" spans="1:16" ht="12" customHeight="1">
      <c r="A40" s="4"/>
      <c r="B40" s="47"/>
      <c r="C40" s="48"/>
      <c r="D40" s="85"/>
      <c r="E40" s="303" t="s">
        <v>337</v>
      </c>
      <c r="F40" s="299"/>
      <c r="G40" s="305"/>
      <c r="H40" s="85"/>
      <c r="I40" s="85"/>
      <c r="J40" s="141"/>
      <c r="L40" s="27"/>
      <c r="M40" s="88"/>
      <c r="N40" s="88"/>
      <c r="O40" s="88"/>
      <c r="P40" s="88"/>
    </row>
    <row r="41" spans="1:16" ht="12" customHeight="1">
      <c r="A41" s="4"/>
      <c r="B41" s="47"/>
      <c r="C41" s="48"/>
      <c r="D41" s="85"/>
      <c r="E41" s="303" t="s">
        <v>380</v>
      </c>
      <c r="F41" s="299"/>
      <c r="G41" s="53"/>
      <c r="H41" s="85"/>
      <c r="I41" s="85"/>
      <c r="J41" s="141"/>
      <c r="L41" s="27"/>
      <c r="M41" s="88"/>
      <c r="N41" s="88"/>
      <c r="O41" s="88"/>
      <c r="P41" s="88"/>
    </row>
    <row r="42" spans="1:16" ht="12" customHeight="1">
      <c r="A42" s="4"/>
      <c r="B42" s="47"/>
      <c r="C42" s="48"/>
      <c r="D42" s="85"/>
      <c r="E42" s="303" t="s">
        <v>338</v>
      </c>
      <c r="F42" s="299"/>
      <c r="G42" s="53"/>
      <c r="H42" s="85"/>
      <c r="I42" s="57"/>
      <c r="J42" s="141"/>
      <c r="L42" s="27"/>
      <c r="M42" s="88"/>
      <c r="N42" s="88"/>
      <c r="O42" s="88"/>
      <c r="P42" s="88"/>
    </row>
    <row r="43" spans="1:16" ht="12" customHeight="1">
      <c r="A43" s="4"/>
      <c r="B43" s="47"/>
      <c r="C43" s="48"/>
      <c r="D43" s="85"/>
      <c r="E43" s="304" t="s">
        <v>379</v>
      </c>
      <c r="F43" s="299"/>
      <c r="G43" s="53"/>
      <c r="H43" s="85"/>
      <c r="I43" s="85" t="s">
        <v>378</v>
      </c>
      <c r="J43" s="141"/>
      <c r="L43" s="27"/>
      <c r="M43" s="88"/>
      <c r="N43" s="88"/>
      <c r="O43" s="88"/>
      <c r="P43" s="88"/>
    </row>
    <row r="44" spans="1:16" ht="12" customHeight="1">
      <c r="A44" s="4"/>
      <c r="B44" s="15" t="s">
        <v>134</v>
      </c>
      <c r="C44" s="42" t="s">
        <v>327</v>
      </c>
      <c r="D44" s="17">
        <v>1</v>
      </c>
      <c r="E44" s="300" t="s">
        <v>408</v>
      </c>
      <c r="F44" s="296"/>
      <c r="G44" s="67"/>
      <c r="H44" s="17"/>
      <c r="I44" s="17"/>
      <c r="J44" s="61"/>
      <c r="L44" s="27"/>
      <c r="M44" s="88"/>
      <c r="N44" s="88"/>
      <c r="O44" s="88"/>
      <c r="P44" s="88"/>
    </row>
    <row r="45" spans="1:16" ht="12" customHeight="1">
      <c r="A45" s="4"/>
      <c r="B45" s="47" t="str">
        <f>B44</f>
        <v>A004</v>
      </c>
      <c r="C45" s="48" t="str">
        <f>C44</f>
        <v>NGダウンロード押下</v>
      </c>
      <c r="D45" s="57"/>
      <c r="E45" s="301" t="s">
        <v>459</v>
      </c>
      <c r="F45" s="297"/>
      <c r="G45" s="58"/>
      <c r="H45" s="57"/>
      <c r="I45" s="57"/>
      <c r="J45" s="56" t="s">
        <v>330</v>
      </c>
      <c r="L45" s="27"/>
      <c r="M45" s="88"/>
      <c r="N45" s="88"/>
      <c r="O45" s="88"/>
      <c r="P45" s="88"/>
    </row>
    <row r="46" spans="1:16" ht="12" customHeight="1">
      <c r="A46" s="4"/>
      <c r="B46" s="47" t="str">
        <f t="shared" ref="B46" si="2">B45</f>
        <v>A004</v>
      </c>
      <c r="C46" s="48" t="str">
        <f t="shared" ref="C46" si="3">C45</f>
        <v>NGダウンロード押下</v>
      </c>
      <c r="D46" s="57"/>
      <c r="E46" s="301" t="s">
        <v>409</v>
      </c>
      <c r="F46" s="297"/>
      <c r="G46" s="58"/>
      <c r="H46" s="57"/>
      <c r="I46" s="57"/>
      <c r="J46" s="50"/>
      <c r="L46" s="27"/>
      <c r="M46" s="88"/>
      <c r="N46" s="88"/>
      <c r="O46" s="88"/>
      <c r="P46" s="88"/>
    </row>
    <row r="47" spans="1:16" ht="12" customHeight="1">
      <c r="A47" s="4"/>
      <c r="B47" s="15" t="s">
        <v>135</v>
      </c>
      <c r="C47" s="42" t="s">
        <v>326</v>
      </c>
      <c r="D47" s="17">
        <v>1</v>
      </c>
      <c r="E47" s="300" t="s">
        <v>410</v>
      </c>
      <c r="F47" s="296"/>
      <c r="G47" s="67"/>
      <c r="H47" s="17"/>
      <c r="I47" s="17"/>
      <c r="J47" s="61"/>
      <c r="L47" s="27"/>
      <c r="M47" s="88"/>
      <c r="N47" s="88"/>
      <c r="O47" s="88"/>
      <c r="P47" s="88"/>
    </row>
    <row r="48" spans="1:16" ht="12" customHeight="1">
      <c r="A48" s="4"/>
      <c r="B48" s="47"/>
      <c r="C48" s="48"/>
      <c r="D48" s="57"/>
      <c r="E48" s="301" t="s">
        <v>411</v>
      </c>
      <c r="F48" s="297"/>
      <c r="G48" s="58"/>
      <c r="H48" s="57"/>
      <c r="I48" s="57"/>
      <c r="J48" s="56"/>
      <c r="L48" s="27"/>
      <c r="M48" s="88"/>
      <c r="N48" s="88"/>
      <c r="O48" s="88"/>
      <c r="P48" s="88"/>
    </row>
    <row r="49" spans="1:16" ht="12" customHeight="1">
      <c r="A49" s="4"/>
      <c r="B49" s="47"/>
      <c r="C49" s="48"/>
      <c r="D49" s="57"/>
      <c r="E49" s="303" t="s">
        <v>412</v>
      </c>
      <c r="F49" s="297"/>
      <c r="G49" s="58"/>
      <c r="H49" s="57"/>
      <c r="I49" s="57"/>
      <c r="J49" s="56"/>
      <c r="L49" s="27"/>
      <c r="M49" s="88"/>
      <c r="N49" s="88"/>
      <c r="O49" s="88"/>
      <c r="P49" s="88"/>
    </row>
    <row r="50" spans="1:16" ht="12" customHeight="1">
      <c r="A50" s="4"/>
      <c r="B50" s="15" t="s">
        <v>471</v>
      </c>
      <c r="C50" s="42" t="s">
        <v>473</v>
      </c>
      <c r="D50" s="17">
        <v>1</v>
      </c>
      <c r="E50" s="300" t="s">
        <v>472</v>
      </c>
      <c r="F50" s="67"/>
      <c r="G50" s="17"/>
      <c r="H50" s="17"/>
      <c r="I50" s="61"/>
      <c r="J50" s="61"/>
      <c r="L50" s="27"/>
      <c r="M50" s="88"/>
      <c r="N50" s="88"/>
      <c r="O50" s="88"/>
      <c r="P50" s="88"/>
    </row>
    <row r="51" spans="1:16" ht="12" customHeight="1">
      <c r="B51" s="2"/>
      <c r="C51" s="2"/>
      <c r="D51" s="140"/>
      <c r="E51" s="140"/>
      <c r="F51" s="140"/>
      <c r="G51" s="140"/>
      <c r="H51" s="140"/>
      <c r="I51" s="140"/>
      <c r="J51" s="140"/>
    </row>
  </sheetData>
  <autoFilter ref="A2:P5" xr:uid="{09499E3D-B045-4CA4-8B3D-3DCEEFCA773C}"/>
  <phoneticPr fontId="7"/>
  <pageMargins left="0.23622047244094491" right="0.23622047244094491" top="0.35433070866141736" bottom="0.35433070866141736" header="0.11811023622047245" footer="0.11811023622047245"/>
  <pageSetup paperSize="9" scale="42" fitToHeight="0" orientation="landscape" r:id="rId1"/>
  <headerFooter alignWithMargins="0">
    <oddFooter>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15BD4-F0F0-4B3B-ACA3-66C297F6C9DC}">
  <sheetPr codeName="Sheet11">
    <outlinePr summaryBelow="0"/>
    <pageSetUpPr fitToPage="1"/>
  </sheetPr>
  <dimension ref="A1:R26"/>
  <sheetViews>
    <sheetView showGridLines="0" view="pageBreakPreview" zoomScaleNormal="100" zoomScaleSheetLayoutView="100" workbookViewId="0">
      <pane ySplit="3" topLeftCell="A4" activePane="bottomLeft" state="frozen"/>
      <selection pane="bottomLeft"/>
    </sheetView>
  </sheetViews>
  <sheetFormatPr defaultColWidth="2.7109375" defaultRowHeight="12" customHeight="1"/>
  <cols>
    <col min="1" max="1" width="2.7109375" style="3"/>
    <col min="2" max="2" width="9.42578125" style="3" bestFit="1" customWidth="1"/>
    <col min="3" max="3" width="19.7109375" style="3" bestFit="1" customWidth="1"/>
    <col min="4" max="4" width="11.5703125" style="3" bestFit="1" customWidth="1"/>
    <col min="5" max="5" width="17.42578125" style="3" bestFit="1" customWidth="1"/>
    <col min="6" max="6" width="8" style="3" bestFit="1" customWidth="1"/>
    <col min="7" max="7" width="37.7109375" style="104" bestFit="1" customWidth="1"/>
    <col min="8" max="8" width="6.42578125" style="4" customWidth="1"/>
    <col min="9" max="9" width="12.42578125" style="4" bestFit="1" customWidth="1"/>
    <col min="10" max="10" width="32.5703125" style="4" customWidth="1"/>
    <col min="11" max="11" width="39.7109375" style="104" customWidth="1"/>
    <col min="12" max="12" width="35.28515625" style="3" bestFit="1" customWidth="1"/>
    <col min="13" max="13" width="2.7109375" style="3"/>
    <col min="14" max="14" width="9.42578125" style="21" bestFit="1" customWidth="1"/>
    <col min="15" max="15" width="13.85546875" style="3" bestFit="1" customWidth="1"/>
    <col min="16" max="17" width="13.85546875" style="4" customWidth="1"/>
    <col min="18" max="18" width="15.42578125" style="3" bestFit="1" customWidth="1"/>
    <col min="19" max="16384" width="2.7109375" style="3"/>
  </cols>
  <sheetData>
    <row r="1" spans="1:18" ht="12" customHeight="1">
      <c r="A1" s="114"/>
      <c r="B1" s="4"/>
      <c r="C1" s="4"/>
      <c r="D1" s="4"/>
      <c r="E1" s="4"/>
      <c r="F1" s="4"/>
      <c r="H1" s="4" t="s">
        <v>136</v>
      </c>
      <c r="L1" s="4"/>
      <c r="N1" s="22" t="s">
        <v>40</v>
      </c>
      <c r="O1" s="22" t="s">
        <v>41</v>
      </c>
      <c r="P1" s="64" t="s">
        <v>42</v>
      </c>
      <c r="Q1" s="63" t="s">
        <v>43</v>
      </c>
      <c r="R1" s="22" t="s">
        <v>44</v>
      </c>
    </row>
    <row r="2" spans="1:18" ht="15.75">
      <c r="A2" s="4"/>
      <c r="B2" s="105" t="s">
        <v>100</v>
      </c>
      <c r="C2" s="105" t="s">
        <v>137</v>
      </c>
      <c r="D2" s="106" t="s">
        <v>138</v>
      </c>
      <c r="E2" s="106" t="s">
        <v>139</v>
      </c>
      <c r="F2" s="106" t="s">
        <v>140</v>
      </c>
      <c r="G2" s="105" t="s">
        <v>437</v>
      </c>
      <c r="H2" s="106" t="s">
        <v>141</v>
      </c>
      <c r="I2" s="107" t="s">
        <v>277</v>
      </c>
      <c r="J2" s="108"/>
      <c r="K2" s="109" t="s">
        <v>142</v>
      </c>
      <c r="L2" s="106" t="s">
        <v>53</v>
      </c>
      <c r="N2" s="26"/>
      <c r="O2" s="24"/>
      <c r="P2" s="88"/>
      <c r="Q2" s="88"/>
      <c r="R2" s="24"/>
    </row>
    <row r="3" spans="1:18">
      <c r="A3" s="4"/>
      <c r="B3" s="110"/>
      <c r="C3" s="110"/>
      <c r="D3" s="111"/>
      <c r="E3" s="111"/>
      <c r="F3" s="111"/>
      <c r="G3" s="110"/>
      <c r="H3" s="111"/>
      <c r="I3" s="110" t="s">
        <v>143</v>
      </c>
      <c r="J3" s="110" t="s">
        <v>102</v>
      </c>
      <c r="K3" s="112"/>
      <c r="L3" s="111"/>
      <c r="N3" s="27"/>
      <c r="O3" s="24"/>
      <c r="P3" s="88"/>
      <c r="Q3" s="88"/>
      <c r="R3" s="24"/>
    </row>
    <row r="4" spans="1:18">
      <c r="A4" s="4"/>
      <c r="B4" s="200" t="s">
        <v>120</v>
      </c>
      <c r="C4" s="200" t="str">
        <f>VLOOKUP(B4,[9]Action定義!B:C,2,0)</f>
        <v>ファイル選択押下</v>
      </c>
      <c r="D4" s="42" t="s">
        <v>494</v>
      </c>
      <c r="E4" s="42" t="s">
        <v>144</v>
      </c>
      <c r="F4" s="42" t="s">
        <v>495</v>
      </c>
      <c r="G4" s="113" t="s">
        <v>274</v>
      </c>
      <c r="H4" s="27" t="s">
        <v>81</v>
      </c>
      <c r="I4" s="69" t="s">
        <v>496</v>
      </c>
      <c r="J4" s="113" t="s">
        <v>274</v>
      </c>
      <c r="K4" s="52"/>
      <c r="L4" s="42"/>
      <c r="N4" s="27"/>
      <c r="O4" s="24"/>
      <c r="P4" s="88"/>
      <c r="Q4" s="88"/>
      <c r="R4" s="24"/>
    </row>
    <row r="5" spans="1:18">
      <c r="A5" s="4"/>
      <c r="B5" s="200" t="s">
        <v>56</v>
      </c>
      <c r="C5" s="200" t="str">
        <f>VLOOKUP(B5,Action定義!B:C,2,0)</f>
        <v>確認押下</v>
      </c>
      <c r="D5" s="42" t="s">
        <v>144</v>
      </c>
      <c r="E5" s="42" t="s">
        <v>144</v>
      </c>
      <c r="F5" s="42" t="s">
        <v>145</v>
      </c>
      <c r="G5" s="55" t="s">
        <v>278</v>
      </c>
      <c r="H5" s="27" t="s">
        <v>66</v>
      </c>
      <c r="I5" s="69" t="s">
        <v>477</v>
      </c>
      <c r="J5" s="113" t="s">
        <v>278</v>
      </c>
      <c r="K5" s="52"/>
      <c r="L5" s="42"/>
      <c r="N5" s="27"/>
      <c r="O5" s="24"/>
      <c r="P5" s="88"/>
      <c r="Q5" s="88"/>
      <c r="R5" s="24"/>
    </row>
    <row r="6" spans="1:18">
      <c r="A6" s="4"/>
      <c r="B6" s="201" t="str">
        <f>B5</f>
        <v>A002</v>
      </c>
      <c r="C6" s="201" t="str">
        <f>VLOOKUP(B6,Action定義!B:C,2,0)</f>
        <v>確認押下</v>
      </c>
      <c r="D6" s="48" t="s">
        <v>144</v>
      </c>
      <c r="E6" s="48" t="s">
        <v>144</v>
      </c>
      <c r="F6" s="48" t="s">
        <v>145</v>
      </c>
      <c r="G6" s="55" t="s">
        <v>122</v>
      </c>
      <c r="H6" s="27" t="s">
        <v>66</v>
      </c>
      <c r="I6" s="69" t="s">
        <v>477</v>
      </c>
      <c r="J6" s="113" t="s">
        <v>122</v>
      </c>
      <c r="K6" s="52"/>
      <c r="L6" s="202"/>
      <c r="N6" s="27"/>
      <c r="O6" s="24"/>
      <c r="P6" s="88"/>
      <c r="Q6" s="88"/>
      <c r="R6" s="24"/>
    </row>
    <row r="7" spans="1:18">
      <c r="A7" s="4"/>
      <c r="B7" s="201" t="str">
        <f t="shared" ref="B7" si="0">B6</f>
        <v>A002</v>
      </c>
      <c r="C7" s="201" t="str">
        <f>VLOOKUP(B7,Action定義!B:C,2,0)</f>
        <v>確認押下</v>
      </c>
      <c r="D7" s="48" t="s">
        <v>144</v>
      </c>
      <c r="E7" s="48" t="s">
        <v>144</v>
      </c>
      <c r="F7" s="48" t="s">
        <v>145</v>
      </c>
      <c r="G7" s="55" t="s">
        <v>279</v>
      </c>
      <c r="H7" s="27" t="s">
        <v>66</v>
      </c>
      <c r="I7" s="69" t="s">
        <v>477</v>
      </c>
      <c r="J7" s="113" t="s">
        <v>279</v>
      </c>
      <c r="K7" s="249"/>
      <c r="L7" s="202"/>
      <c r="N7" s="27"/>
      <c r="O7" s="24"/>
      <c r="P7" s="88"/>
      <c r="Q7" s="88"/>
      <c r="R7" s="24"/>
    </row>
    <row r="8" spans="1:18">
      <c r="A8" s="4"/>
      <c r="B8" s="201" t="str">
        <f>B6</f>
        <v>A002</v>
      </c>
      <c r="C8" s="201" t="str">
        <f>VLOOKUP(B8,Action定義!B:C,2,0)</f>
        <v>確認押下</v>
      </c>
      <c r="D8" s="48" t="s">
        <v>144</v>
      </c>
      <c r="E8" s="48" t="s">
        <v>144</v>
      </c>
      <c r="F8" s="48" t="s">
        <v>145</v>
      </c>
      <c r="G8" s="55" t="s">
        <v>280</v>
      </c>
      <c r="H8" s="27" t="s">
        <v>66</v>
      </c>
      <c r="I8" s="69" t="s">
        <v>477</v>
      </c>
      <c r="J8" s="113" t="s">
        <v>280</v>
      </c>
      <c r="K8" s="249"/>
      <c r="L8" s="202"/>
      <c r="N8" s="27"/>
      <c r="O8" s="24"/>
      <c r="P8" s="88"/>
      <c r="Q8" s="88"/>
      <c r="R8" s="24"/>
    </row>
    <row r="9" spans="1:18">
      <c r="A9" s="4"/>
      <c r="B9" s="201" t="str">
        <f>B7</f>
        <v>A002</v>
      </c>
      <c r="C9" s="201" t="str">
        <f>VLOOKUP(B9,Action定義!B:C,2,0)</f>
        <v>確認押下</v>
      </c>
      <c r="D9" s="48" t="s">
        <v>144</v>
      </c>
      <c r="E9" s="48" t="s">
        <v>144</v>
      </c>
      <c r="F9" s="48" t="s">
        <v>145</v>
      </c>
      <c r="G9" s="55" t="s">
        <v>281</v>
      </c>
      <c r="H9" s="27" t="s">
        <v>66</v>
      </c>
      <c r="I9" s="69" t="s">
        <v>477</v>
      </c>
      <c r="J9" s="113" t="s">
        <v>281</v>
      </c>
      <c r="K9" s="249"/>
      <c r="L9" s="202"/>
      <c r="N9" s="27"/>
      <c r="O9" s="24"/>
      <c r="P9" s="88"/>
      <c r="Q9" s="88"/>
      <c r="R9" s="24"/>
    </row>
    <row r="10" spans="1:18">
      <c r="A10" s="4"/>
      <c r="B10" s="201" t="str">
        <f>B7</f>
        <v>A002</v>
      </c>
      <c r="C10" s="201" t="str">
        <f>VLOOKUP(B10,Action定義!B:C,2,0)</f>
        <v>確認押下</v>
      </c>
      <c r="D10" s="48" t="s">
        <v>144</v>
      </c>
      <c r="E10" s="48" t="s">
        <v>144</v>
      </c>
      <c r="F10" s="48" t="s">
        <v>145</v>
      </c>
      <c r="G10" s="55" t="s">
        <v>485</v>
      </c>
      <c r="H10" s="27" t="s">
        <v>66</v>
      </c>
      <c r="I10" s="69" t="s">
        <v>477</v>
      </c>
      <c r="J10" s="113" t="s">
        <v>485</v>
      </c>
      <c r="K10" s="52"/>
      <c r="L10" s="202"/>
      <c r="N10" s="27"/>
      <c r="O10" s="24"/>
      <c r="P10" s="88"/>
      <c r="Q10" s="88"/>
      <c r="R10" s="24"/>
    </row>
    <row r="11" spans="1:18">
      <c r="A11" s="4"/>
      <c r="B11" s="200" t="s">
        <v>58</v>
      </c>
      <c r="C11" s="200" t="str">
        <f>VLOOKUP(B11,[9]Action定義!B:C,2,0)</f>
        <v>登録押下</v>
      </c>
      <c r="D11" s="42" t="s">
        <v>144</v>
      </c>
      <c r="E11" s="42" t="s">
        <v>144</v>
      </c>
      <c r="F11" s="42" t="s">
        <v>495</v>
      </c>
      <c r="G11" s="55" t="s">
        <v>278</v>
      </c>
      <c r="H11" s="27" t="s">
        <v>66</v>
      </c>
      <c r="I11" s="69" t="s">
        <v>496</v>
      </c>
      <c r="J11" s="55" t="s">
        <v>278</v>
      </c>
      <c r="K11" s="52"/>
      <c r="L11" s="42"/>
      <c r="N11" s="27"/>
      <c r="O11" s="24"/>
      <c r="P11" s="88"/>
      <c r="Q11" s="88"/>
      <c r="R11" s="24"/>
    </row>
    <row r="12" spans="1:18">
      <c r="A12" s="4"/>
      <c r="B12" s="201" t="str">
        <f>B11</f>
        <v>A003</v>
      </c>
      <c r="C12" s="201" t="str">
        <f>VLOOKUP(B12,[9]Action定義!B:C,2,0)</f>
        <v>登録押下</v>
      </c>
      <c r="D12" s="48" t="s">
        <v>144</v>
      </c>
      <c r="E12" s="48" t="s">
        <v>144</v>
      </c>
      <c r="F12" s="48" t="s">
        <v>495</v>
      </c>
      <c r="G12" s="55" t="s">
        <v>122</v>
      </c>
      <c r="H12" s="27" t="s">
        <v>66</v>
      </c>
      <c r="I12" s="69" t="s">
        <v>496</v>
      </c>
      <c r="J12" s="55" t="s">
        <v>122</v>
      </c>
      <c r="K12" s="52"/>
      <c r="L12" s="42"/>
      <c r="N12" s="27"/>
      <c r="O12" s="24"/>
      <c r="P12" s="88"/>
      <c r="Q12" s="88"/>
      <c r="R12" s="24"/>
    </row>
    <row r="13" spans="1:18">
      <c r="A13" s="4"/>
      <c r="B13" s="201" t="str">
        <f t="shared" ref="B13:B16" si="1">B12</f>
        <v>A003</v>
      </c>
      <c r="C13" s="201" t="str">
        <f>VLOOKUP(B13,[9]Action定義!B:C,2,0)</f>
        <v>登録押下</v>
      </c>
      <c r="D13" s="48" t="s">
        <v>144</v>
      </c>
      <c r="E13" s="48" t="s">
        <v>144</v>
      </c>
      <c r="F13" s="48" t="s">
        <v>495</v>
      </c>
      <c r="G13" s="55" t="s">
        <v>279</v>
      </c>
      <c r="H13" s="27" t="s">
        <v>66</v>
      </c>
      <c r="I13" s="69" t="s">
        <v>496</v>
      </c>
      <c r="J13" s="55" t="s">
        <v>279</v>
      </c>
      <c r="K13" s="249"/>
      <c r="L13" s="42"/>
      <c r="N13" s="27"/>
      <c r="O13" s="24"/>
      <c r="P13" s="88"/>
      <c r="Q13" s="88"/>
      <c r="R13" s="24"/>
    </row>
    <row r="14" spans="1:18">
      <c r="A14" s="4"/>
      <c r="B14" s="201" t="str">
        <f t="shared" si="1"/>
        <v>A003</v>
      </c>
      <c r="C14" s="201" t="str">
        <f>VLOOKUP(B14,[9]Action定義!B:C,2,0)</f>
        <v>登録押下</v>
      </c>
      <c r="D14" s="48" t="s">
        <v>144</v>
      </c>
      <c r="E14" s="48" t="s">
        <v>144</v>
      </c>
      <c r="F14" s="48" t="s">
        <v>495</v>
      </c>
      <c r="G14" s="55" t="s">
        <v>280</v>
      </c>
      <c r="H14" s="27" t="s">
        <v>66</v>
      </c>
      <c r="I14" s="69" t="s">
        <v>496</v>
      </c>
      <c r="J14" s="55" t="s">
        <v>280</v>
      </c>
      <c r="K14" s="249"/>
      <c r="L14" s="42"/>
      <c r="N14" s="27"/>
      <c r="O14" s="24"/>
      <c r="P14" s="88"/>
      <c r="Q14" s="88"/>
      <c r="R14" s="24"/>
    </row>
    <row r="15" spans="1:18">
      <c r="A15" s="4"/>
      <c r="B15" s="201" t="str">
        <f t="shared" si="1"/>
        <v>A003</v>
      </c>
      <c r="C15" s="201" t="str">
        <f>VLOOKUP(B15,[9]Action定義!B:C,2,0)</f>
        <v>登録押下</v>
      </c>
      <c r="D15" s="48" t="s">
        <v>144</v>
      </c>
      <c r="E15" s="48" t="s">
        <v>144</v>
      </c>
      <c r="F15" s="48" t="s">
        <v>495</v>
      </c>
      <c r="G15" s="55" t="s">
        <v>281</v>
      </c>
      <c r="H15" s="27" t="s">
        <v>66</v>
      </c>
      <c r="I15" s="69" t="s">
        <v>496</v>
      </c>
      <c r="J15" s="55" t="s">
        <v>281</v>
      </c>
      <c r="K15" s="249"/>
      <c r="L15" s="42"/>
      <c r="N15" s="27"/>
      <c r="O15" s="24"/>
      <c r="P15" s="88"/>
      <c r="Q15" s="88"/>
      <c r="R15" s="24"/>
    </row>
    <row r="16" spans="1:18">
      <c r="A16" s="4"/>
      <c r="B16" s="201" t="str">
        <f t="shared" si="1"/>
        <v>A003</v>
      </c>
      <c r="C16" s="201" t="str">
        <f>VLOOKUP(B16,[9]Action定義!B:C,2,0)</f>
        <v>登録押下</v>
      </c>
      <c r="D16" s="48" t="s">
        <v>144</v>
      </c>
      <c r="E16" s="48" t="s">
        <v>144</v>
      </c>
      <c r="F16" s="48" t="s">
        <v>495</v>
      </c>
      <c r="G16" s="55" t="s">
        <v>485</v>
      </c>
      <c r="H16" s="27" t="s">
        <v>66</v>
      </c>
      <c r="I16" s="69" t="s">
        <v>496</v>
      </c>
      <c r="J16" s="55" t="s">
        <v>485</v>
      </c>
      <c r="K16" s="249"/>
      <c r="L16" s="42"/>
      <c r="N16" s="27"/>
      <c r="O16" s="24"/>
      <c r="P16" s="88"/>
      <c r="Q16" s="88"/>
      <c r="R16" s="24"/>
    </row>
    <row r="17" spans="1:18">
      <c r="A17" s="4"/>
      <c r="B17" s="200" t="s">
        <v>58</v>
      </c>
      <c r="C17" s="200" t="str">
        <f>VLOOKUP(B17,[9]Action定義!B:C,2,0)</f>
        <v>登録押下</v>
      </c>
      <c r="D17" s="42" t="s">
        <v>144</v>
      </c>
      <c r="E17" s="42" t="s">
        <v>144</v>
      </c>
      <c r="F17" s="42" t="s">
        <v>145</v>
      </c>
      <c r="G17" s="113" t="s">
        <v>278</v>
      </c>
      <c r="H17" s="27" t="s">
        <v>66</v>
      </c>
      <c r="I17" s="69" t="s">
        <v>497</v>
      </c>
      <c r="J17" s="113" t="s">
        <v>278</v>
      </c>
      <c r="K17" s="52"/>
      <c r="L17" s="42"/>
      <c r="N17" s="27"/>
      <c r="O17" s="24"/>
      <c r="P17" s="88"/>
      <c r="Q17" s="88"/>
      <c r="R17" s="24"/>
    </row>
    <row r="18" spans="1:18">
      <c r="A18" s="4"/>
      <c r="B18" s="201" t="str">
        <f>B17</f>
        <v>A003</v>
      </c>
      <c r="C18" s="201" t="str">
        <f>VLOOKUP(B18,[9]Action定義!B:C,2,0)</f>
        <v>登録押下</v>
      </c>
      <c r="D18" s="48" t="s">
        <v>144</v>
      </c>
      <c r="E18" s="48" t="s">
        <v>144</v>
      </c>
      <c r="F18" s="48" t="s">
        <v>145</v>
      </c>
      <c r="G18" s="113" t="s">
        <v>122</v>
      </c>
      <c r="H18" s="27" t="s">
        <v>66</v>
      </c>
      <c r="I18" s="69" t="s">
        <v>497</v>
      </c>
      <c r="J18" s="113" t="s">
        <v>122</v>
      </c>
      <c r="K18" s="52"/>
      <c r="L18" s="42"/>
      <c r="N18" s="27"/>
      <c r="O18" s="24"/>
      <c r="P18" s="88"/>
      <c r="Q18" s="88"/>
      <c r="R18" s="24"/>
    </row>
    <row r="19" spans="1:18">
      <c r="A19" s="4"/>
      <c r="B19" s="201" t="str">
        <f t="shared" ref="B19:B23" si="2">B18</f>
        <v>A003</v>
      </c>
      <c r="C19" s="201" t="str">
        <f>VLOOKUP(B19,[9]Action定義!B:C,2,0)</f>
        <v>登録押下</v>
      </c>
      <c r="D19" s="48" t="s">
        <v>144</v>
      </c>
      <c r="E19" s="48" t="s">
        <v>144</v>
      </c>
      <c r="F19" s="48" t="s">
        <v>145</v>
      </c>
      <c r="G19" s="113" t="s">
        <v>280</v>
      </c>
      <c r="H19" s="27" t="s">
        <v>66</v>
      </c>
      <c r="I19" s="69" t="s">
        <v>497</v>
      </c>
      <c r="J19" s="113" t="s">
        <v>280</v>
      </c>
      <c r="K19" s="249"/>
      <c r="L19" s="42"/>
      <c r="N19" s="27"/>
      <c r="O19" s="24"/>
      <c r="P19" s="88"/>
      <c r="Q19" s="88"/>
      <c r="R19" s="24"/>
    </row>
    <row r="20" spans="1:18">
      <c r="A20" s="4"/>
      <c r="B20" s="201" t="str">
        <f t="shared" si="2"/>
        <v>A003</v>
      </c>
      <c r="C20" s="201" t="str">
        <f>VLOOKUP(B20,[9]Action定義!B:C,2,0)</f>
        <v>登録押下</v>
      </c>
      <c r="D20" s="48" t="s">
        <v>144</v>
      </c>
      <c r="E20" s="48" t="s">
        <v>144</v>
      </c>
      <c r="F20" s="48" t="s">
        <v>145</v>
      </c>
      <c r="G20" s="113" t="s">
        <v>485</v>
      </c>
      <c r="H20" s="27" t="s">
        <v>66</v>
      </c>
      <c r="I20" s="69" t="s">
        <v>497</v>
      </c>
      <c r="J20" s="113" t="s">
        <v>485</v>
      </c>
      <c r="K20" s="249"/>
      <c r="L20" s="42"/>
      <c r="N20" s="27"/>
      <c r="O20" s="24"/>
      <c r="P20" s="88"/>
      <c r="Q20" s="88"/>
      <c r="R20" s="24"/>
    </row>
    <row r="21" spans="1:18">
      <c r="A21" s="4"/>
      <c r="B21" s="201" t="str">
        <f t="shared" si="2"/>
        <v>A003</v>
      </c>
      <c r="C21" s="201" t="str">
        <f>VLOOKUP(B21,[9]Action定義!B:C,2,0)</f>
        <v>登録押下</v>
      </c>
      <c r="D21" s="48" t="s">
        <v>144</v>
      </c>
      <c r="E21" s="48" t="s">
        <v>144</v>
      </c>
      <c r="F21" s="48" t="s">
        <v>145</v>
      </c>
      <c r="G21" s="113" t="s">
        <v>281</v>
      </c>
      <c r="H21" s="27" t="s">
        <v>66</v>
      </c>
      <c r="I21" s="69" t="s">
        <v>497</v>
      </c>
      <c r="J21" s="113" t="s">
        <v>281</v>
      </c>
      <c r="K21" s="249"/>
      <c r="L21" s="42"/>
      <c r="N21" s="27"/>
      <c r="O21" s="24"/>
      <c r="P21" s="88"/>
      <c r="Q21" s="88"/>
      <c r="R21" s="24"/>
    </row>
    <row r="22" spans="1:18">
      <c r="A22" s="4"/>
      <c r="B22" s="201" t="str">
        <f t="shared" si="2"/>
        <v>A003</v>
      </c>
      <c r="C22" s="201" t="str">
        <f>VLOOKUP(B22,[9]Action定義!B:C,2,0)</f>
        <v>登録押下</v>
      </c>
      <c r="D22" s="48" t="s">
        <v>144</v>
      </c>
      <c r="E22" s="48" t="s">
        <v>144</v>
      </c>
      <c r="F22" s="48" t="s">
        <v>145</v>
      </c>
      <c r="G22" s="113" t="s">
        <v>279</v>
      </c>
      <c r="H22" s="27" t="s">
        <v>66</v>
      </c>
      <c r="I22" s="69" t="s">
        <v>497</v>
      </c>
      <c r="J22" s="113" t="s">
        <v>279</v>
      </c>
      <c r="K22" s="249"/>
      <c r="L22" s="42"/>
      <c r="N22" s="27"/>
      <c r="O22" s="24"/>
      <c r="P22" s="88"/>
      <c r="Q22" s="88"/>
      <c r="R22" s="24"/>
    </row>
    <row r="23" spans="1:18">
      <c r="A23" s="4"/>
      <c r="B23" s="201" t="str">
        <f t="shared" si="2"/>
        <v>A003</v>
      </c>
      <c r="C23" s="201" t="str">
        <f>VLOOKUP(B23,[9]Action定義!B:C,2,0)</f>
        <v>登録押下</v>
      </c>
      <c r="D23" s="48" t="s">
        <v>144</v>
      </c>
      <c r="E23" s="48" t="s">
        <v>144</v>
      </c>
      <c r="F23" s="48" t="s">
        <v>145</v>
      </c>
      <c r="G23" s="55" t="s">
        <v>499</v>
      </c>
      <c r="H23" s="27" t="s">
        <v>66</v>
      </c>
      <c r="I23" s="69" t="s">
        <v>497</v>
      </c>
      <c r="J23" s="55" t="s">
        <v>499</v>
      </c>
      <c r="K23" s="52"/>
      <c r="L23" s="42"/>
      <c r="N23" s="27"/>
      <c r="O23" s="24"/>
      <c r="P23" s="88"/>
      <c r="Q23" s="88"/>
      <c r="R23" s="24"/>
    </row>
    <row r="24" spans="1:18">
      <c r="A24" s="4"/>
      <c r="B24" s="444" t="s">
        <v>134</v>
      </c>
      <c r="C24" s="445" t="str">
        <f>VLOOKUP(B24,[9]Action定義!B:C,2,0)</f>
        <v>NGダウンロード押下</v>
      </c>
      <c r="D24" s="446" t="s">
        <v>144</v>
      </c>
      <c r="E24" s="446" t="s">
        <v>144</v>
      </c>
      <c r="F24" s="446" t="s">
        <v>495</v>
      </c>
      <c r="G24" s="447" t="s">
        <v>272</v>
      </c>
      <c r="H24" s="448" t="s">
        <v>81</v>
      </c>
      <c r="I24" s="449" t="s">
        <v>496</v>
      </c>
      <c r="J24" s="447" t="s">
        <v>272</v>
      </c>
      <c r="K24" s="450"/>
      <c r="L24" s="42"/>
      <c r="N24" s="27"/>
      <c r="O24" s="24"/>
      <c r="P24" s="88"/>
      <c r="Q24" s="88"/>
      <c r="R24" s="24"/>
    </row>
    <row r="25" spans="1:18">
      <c r="A25" s="4"/>
      <c r="B25" s="451" t="s">
        <v>135</v>
      </c>
      <c r="C25" s="442" t="str">
        <f>VLOOKUP(B25,[9]Action定義!B:C,2,0)</f>
        <v>クリア押下</v>
      </c>
      <c r="D25" s="443" t="s">
        <v>144</v>
      </c>
      <c r="E25" s="443" t="s">
        <v>144</v>
      </c>
      <c r="F25" s="443" t="s">
        <v>495</v>
      </c>
      <c r="G25" s="55" t="s">
        <v>273</v>
      </c>
      <c r="H25" s="27" t="s">
        <v>81</v>
      </c>
      <c r="I25" s="69" t="s">
        <v>496</v>
      </c>
      <c r="J25" s="113" t="s">
        <v>273</v>
      </c>
      <c r="K25" s="52"/>
      <c r="L25" s="42"/>
      <c r="N25" s="27"/>
      <c r="O25" s="24"/>
      <c r="P25" s="88"/>
      <c r="Q25" s="88"/>
      <c r="R25" s="24"/>
    </row>
    <row r="26" spans="1:18">
      <c r="A26" s="4"/>
      <c r="B26" s="451" t="s">
        <v>471</v>
      </c>
      <c r="C26" s="442" t="str">
        <f>VLOOKUP(B26,[9]Action定義!B:C,2,0)</f>
        <v>NGあり押下</v>
      </c>
      <c r="D26" s="443" t="s">
        <v>144</v>
      </c>
      <c r="E26" s="443" t="s">
        <v>144</v>
      </c>
      <c r="F26" s="443" t="s">
        <v>495</v>
      </c>
      <c r="G26" s="55" t="s">
        <v>498</v>
      </c>
      <c r="H26" s="27" t="s">
        <v>81</v>
      </c>
      <c r="I26" s="69" t="s">
        <v>496</v>
      </c>
      <c r="J26" s="113" t="s">
        <v>498</v>
      </c>
      <c r="K26" s="52"/>
      <c r="L26" s="27"/>
      <c r="N26" s="27"/>
      <c r="O26" s="24"/>
      <c r="P26" s="88"/>
      <c r="Q26" s="88"/>
      <c r="R26" s="24"/>
    </row>
  </sheetData>
  <autoFilter ref="A3:R10" xr:uid="{54534FB9-4DC8-46F3-8FBD-3A9894C85289}"/>
  <phoneticPr fontId="7"/>
  <pageMargins left="0.23622047244094491" right="0.23622047244094491" top="0.35433070866141736" bottom="0.35433070866141736" header="0.11811023622047245" footer="0.11811023622047245"/>
  <pageSetup paperSize="9" scale="60" fitToHeight="0" orientation="landscape" r:id="rId1"/>
  <headerFooter alignWithMargins="0">
    <oddFooter>&amp;P / &amp;N ページ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0BDA3E9-FC5C-415D-AD90-1B6E2DC49A97}">
          <x14:formula1>
            <xm:f>リスト!$M$64:$M$65</xm:f>
          </x14:formula1>
          <xm:sqref>F5:F10</xm:sqref>
        </x14:dataValidation>
        <x14:dataValidation type="list" allowBlank="1" showInputMessage="1" showErrorMessage="1" xr:uid="{52265F40-16A2-4798-B798-28B843BDB691}">
          <x14:formula1>
            <xm:f>リスト!$M$21:$M$23</xm:f>
          </x14:formula1>
          <xm:sqref>H5:H10</xm:sqref>
        </x14:dataValidation>
        <x14:dataValidation type="list" allowBlank="1" showInputMessage="1" showErrorMessage="1" xr:uid="{6DDF6470-E93C-4808-BA4A-1036B6A180CA}">
          <x14:formula1>
            <xm:f>'[画面定義書_SUB0504_03-01_目論見書閲覧データ登録 - Copy.xlsx]リスト'!#REF!</xm:f>
          </x14:formula1>
          <xm:sqref>H4 H11:H26</xm:sqref>
        </x14:dataValidation>
        <x14:dataValidation type="list" allowBlank="1" showInputMessage="1" showErrorMessage="1" xr:uid="{1BAF9D63-88EA-468E-90B7-98875D3C776C}">
          <x14:formula1>
            <xm:f>'[画面定義書_SUB0504_03-01_目論見書閲覧データ登録 - Copy.xlsx]リスト'!#REF!</xm:f>
          </x14:formula1>
          <xm:sqref>F4 F11:F26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BD698-A314-4EAD-9668-FFE53767A4DD}">
  <sheetPr codeName="Sheet14">
    <pageSetUpPr fitToPage="1"/>
  </sheetPr>
  <dimension ref="B1:P87"/>
  <sheetViews>
    <sheetView showGridLines="0" tabSelected="1" view="pageBreakPreview" topLeftCell="C1" zoomScaleNormal="100" zoomScaleSheetLayoutView="100" workbookViewId="0">
      <selection activeCell="C1" sqref="C1"/>
    </sheetView>
  </sheetViews>
  <sheetFormatPr defaultColWidth="2.7109375" defaultRowHeight="12" customHeight="1"/>
  <cols>
    <col min="1" max="2" width="2.7109375" style="4"/>
    <col min="3" max="3" width="3.42578125" style="4" customWidth="1"/>
    <col min="4" max="4" width="54.42578125" style="4" customWidth="1"/>
    <col min="5" max="5" width="2.7109375" style="4"/>
    <col min="6" max="6" width="33.28515625" style="4" customWidth="1"/>
    <col min="7" max="7" width="4" style="4" customWidth="1"/>
    <col min="8" max="8" width="37.28515625" style="4" customWidth="1"/>
    <col min="9" max="9" width="63" style="4" customWidth="1"/>
    <col min="10" max="10" width="67.85546875" style="4" customWidth="1"/>
    <col min="11" max="11" width="2.42578125" style="4" customWidth="1"/>
    <col min="12" max="12" width="10.140625" style="4" bestFit="1" customWidth="1"/>
    <col min="13" max="13" width="13.85546875" style="4" bestFit="1" customWidth="1"/>
    <col min="14" max="15" width="13.85546875" style="4" customWidth="1"/>
    <col min="16" max="16" width="15.42578125" style="4" bestFit="1" customWidth="1"/>
    <col min="17" max="16384" width="2.7109375" style="4"/>
  </cols>
  <sheetData>
    <row r="1" spans="2:16" ht="12" customHeight="1">
      <c r="E1" s="114"/>
      <c r="F1" s="114"/>
      <c r="G1" s="114"/>
      <c r="H1" s="114"/>
      <c r="I1" s="114"/>
      <c r="J1" s="114"/>
      <c r="K1" s="80"/>
      <c r="L1" s="22" t="s">
        <v>40</v>
      </c>
      <c r="M1" s="22" t="s">
        <v>41</v>
      </c>
      <c r="N1" s="64" t="s">
        <v>42</v>
      </c>
      <c r="O1" s="63" t="s">
        <v>43</v>
      </c>
      <c r="P1" s="63" t="s">
        <v>44</v>
      </c>
    </row>
    <row r="2" spans="2:16" ht="12" customHeight="1">
      <c r="B2" s="25" t="s">
        <v>468</v>
      </c>
      <c r="E2" s="114"/>
      <c r="F2" s="114"/>
      <c r="G2" s="114"/>
      <c r="H2" s="114"/>
      <c r="I2" s="114"/>
      <c r="J2" s="114"/>
      <c r="K2" s="80"/>
      <c r="L2" s="88"/>
      <c r="M2" s="115"/>
      <c r="N2" s="115"/>
      <c r="O2" s="115"/>
      <c r="P2" s="88"/>
    </row>
    <row r="3" spans="2:16" ht="12" customHeight="1">
      <c r="K3" s="203"/>
      <c r="L3" s="88"/>
      <c r="M3" s="115"/>
      <c r="N3" s="115"/>
      <c r="O3" s="115"/>
      <c r="P3" s="88"/>
    </row>
    <row r="4" spans="2:16" ht="12" customHeight="1">
      <c r="C4" s="4" t="s">
        <v>146</v>
      </c>
      <c r="D4" s="62"/>
      <c r="E4" s="62"/>
      <c r="F4" s="62"/>
      <c r="G4" s="62"/>
      <c r="H4" s="62"/>
      <c r="I4" s="62"/>
      <c r="J4" s="62"/>
      <c r="K4" s="203"/>
      <c r="L4" s="88"/>
      <c r="M4" s="115"/>
      <c r="N4" s="115"/>
      <c r="O4" s="115"/>
      <c r="P4" s="88"/>
    </row>
    <row r="5" spans="2:16" ht="12" customHeight="1">
      <c r="C5" s="4" t="s">
        <v>325</v>
      </c>
      <c r="E5" s="62"/>
      <c r="F5" s="62"/>
      <c r="G5" s="62"/>
      <c r="H5" s="62"/>
      <c r="I5" s="62"/>
      <c r="J5" s="62"/>
      <c r="K5" s="203"/>
      <c r="L5" s="88"/>
      <c r="M5" s="115"/>
      <c r="N5" s="115"/>
      <c r="O5" s="115"/>
      <c r="P5" s="88"/>
    </row>
    <row r="6" spans="2:16" ht="12" customHeight="1">
      <c r="E6" s="62"/>
      <c r="F6" s="62"/>
      <c r="G6" s="62"/>
      <c r="H6" s="62"/>
      <c r="I6" s="62"/>
      <c r="J6" s="62"/>
      <c r="K6" s="203"/>
      <c r="L6" s="88"/>
      <c r="M6" s="115"/>
      <c r="N6" s="115"/>
      <c r="O6" s="115"/>
      <c r="P6" s="88"/>
    </row>
    <row r="7" spans="2:16" ht="12" customHeight="1">
      <c r="D7" s="62"/>
      <c r="E7" s="62"/>
      <c r="F7" s="62"/>
      <c r="G7" s="62"/>
      <c r="H7" s="62"/>
      <c r="I7" s="62"/>
      <c r="J7" s="62"/>
      <c r="K7" s="203"/>
      <c r="L7" s="88"/>
      <c r="M7" s="115"/>
      <c r="N7" s="115"/>
      <c r="O7" s="115"/>
      <c r="P7" s="88"/>
    </row>
    <row r="8" spans="2:16" ht="12" customHeight="1">
      <c r="C8" s="18" t="s">
        <v>147</v>
      </c>
      <c r="D8" s="70"/>
      <c r="E8" s="71" t="s">
        <v>148</v>
      </c>
      <c r="F8" s="65"/>
      <c r="G8" s="65"/>
      <c r="H8" s="65"/>
      <c r="I8" s="72"/>
      <c r="J8" s="88" t="s">
        <v>53</v>
      </c>
      <c r="K8" s="203"/>
      <c r="L8" s="88"/>
      <c r="M8" s="115"/>
      <c r="N8" s="115"/>
      <c r="O8" s="115"/>
      <c r="P8" s="88"/>
    </row>
    <row r="9" spans="2:16" ht="12" customHeight="1">
      <c r="C9" s="116" t="s">
        <v>149</v>
      </c>
      <c r="D9" s="117"/>
      <c r="E9" s="73" t="s">
        <v>488</v>
      </c>
      <c r="F9" s="74"/>
      <c r="G9" s="74"/>
      <c r="H9" s="74"/>
      <c r="I9" s="145" t="s">
        <v>317</v>
      </c>
      <c r="J9" s="76"/>
      <c r="K9" s="203"/>
      <c r="L9" s="88"/>
      <c r="M9" s="115"/>
      <c r="N9" s="115"/>
      <c r="O9" s="115"/>
      <c r="P9" s="88"/>
    </row>
    <row r="10" spans="2:16" ht="12" customHeight="1">
      <c r="C10" s="79"/>
      <c r="D10" s="80" t="s">
        <v>65</v>
      </c>
      <c r="E10" s="73"/>
      <c r="F10" s="74" t="s">
        <v>315</v>
      </c>
      <c r="G10" s="74"/>
      <c r="H10" s="74"/>
      <c r="I10" s="293" t="s">
        <v>318</v>
      </c>
      <c r="J10" s="78"/>
      <c r="K10" s="203"/>
      <c r="L10" s="88"/>
      <c r="M10" s="115"/>
      <c r="N10" s="115"/>
      <c r="O10" s="115"/>
      <c r="P10" s="86"/>
    </row>
    <row r="11" spans="2:16" ht="12" customHeight="1">
      <c r="C11" s="118"/>
      <c r="D11" s="80"/>
      <c r="E11" s="73" t="s">
        <v>156</v>
      </c>
      <c r="F11" s="74"/>
      <c r="G11" s="74"/>
      <c r="H11" s="74"/>
      <c r="I11" s="75" t="s">
        <v>319</v>
      </c>
      <c r="J11" s="78"/>
      <c r="K11" s="203"/>
      <c r="L11" s="88"/>
      <c r="M11" s="115"/>
      <c r="N11" s="115"/>
      <c r="O11" s="115"/>
      <c r="P11" s="88"/>
    </row>
    <row r="12" spans="2:16" ht="12" customHeight="1">
      <c r="C12" s="79" t="s">
        <v>150</v>
      </c>
      <c r="D12" s="80"/>
      <c r="E12" s="73"/>
      <c r="F12" s="74" t="s">
        <v>316</v>
      </c>
      <c r="G12" s="74"/>
      <c r="H12" s="74"/>
      <c r="I12" s="293" t="s">
        <v>320</v>
      </c>
      <c r="J12" s="78"/>
      <c r="K12" s="203"/>
      <c r="L12" s="88"/>
      <c r="M12" s="115"/>
      <c r="N12" s="115"/>
      <c r="O12" s="115"/>
      <c r="P12" s="88"/>
    </row>
    <row r="13" spans="2:16" ht="12" customHeight="1">
      <c r="C13" s="119"/>
      <c r="D13" s="80" t="s">
        <v>151</v>
      </c>
      <c r="E13" s="77"/>
      <c r="F13" s="74"/>
      <c r="G13" s="74"/>
      <c r="H13" s="74"/>
      <c r="I13" s="75" t="s">
        <v>321</v>
      </c>
      <c r="J13" s="78"/>
      <c r="K13" s="203"/>
      <c r="L13" s="88"/>
      <c r="M13" s="115"/>
      <c r="N13" s="115"/>
      <c r="O13" s="115"/>
      <c r="P13" s="88"/>
    </row>
    <row r="14" spans="2:16" ht="12" customHeight="1">
      <c r="C14" s="119"/>
      <c r="D14" s="80"/>
      <c r="E14" s="73" t="s">
        <v>159</v>
      </c>
      <c r="F14" s="74"/>
      <c r="G14" s="74"/>
      <c r="H14" s="74"/>
      <c r="I14" s="293" t="s">
        <v>322</v>
      </c>
      <c r="J14" s="78"/>
      <c r="K14" s="203"/>
      <c r="L14" s="88"/>
      <c r="M14" s="115"/>
      <c r="N14" s="115"/>
      <c r="O14" s="115"/>
      <c r="P14" s="88"/>
    </row>
    <row r="15" spans="2:16" ht="12" customHeight="1">
      <c r="C15" s="79" t="s">
        <v>152</v>
      </c>
      <c r="D15" s="80"/>
      <c r="E15" s="77"/>
      <c r="F15" s="294" t="s">
        <v>324</v>
      </c>
      <c r="G15" s="294"/>
      <c r="H15" s="74"/>
      <c r="I15" s="293" t="s">
        <v>436</v>
      </c>
      <c r="J15" s="148"/>
      <c r="K15" s="204"/>
      <c r="L15" s="88"/>
      <c r="M15" s="115"/>
      <c r="N15" s="115"/>
      <c r="O15" s="115"/>
      <c r="P15" s="88"/>
    </row>
    <row r="16" spans="2:16" ht="12" customHeight="1">
      <c r="C16" s="79"/>
      <c r="D16" s="80" t="s">
        <v>153</v>
      </c>
      <c r="E16" s="77"/>
      <c r="F16" s="74"/>
      <c r="G16" s="74"/>
      <c r="H16" s="74"/>
      <c r="I16" s="293" t="s">
        <v>323</v>
      </c>
      <c r="J16" s="78"/>
      <c r="K16" s="203"/>
      <c r="L16" s="88"/>
      <c r="M16" s="115"/>
      <c r="N16" s="115"/>
      <c r="O16" s="115"/>
      <c r="P16" s="88"/>
    </row>
    <row r="17" spans="2:16" ht="12" customHeight="1">
      <c r="C17" s="79"/>
      <c r="D17" s="80"/>
      <c r="H17" s="74"/>
      <c r="I17" s="75"/>
      <c r="J17" s="78"/>
      <c r="K17" s="203"/>
      <c r="L17" s="88"/>
      <c r="M17" s="115"/>
      <c r="N17" s="115"/>
      <c r="O17" s="115"/>
      <c r="P17" s="88"/>
    </row>
    <row r="18" spans="2:16" ht="12" customHeight="1">
      <c r="C18" s="79" t="s">
        <v>154</v>
      </c>
      <c r="D18" s="80"/>
      <c r="H18" s="74"/>
      <c r="I18" s="75"/>
      <c r="J18" s="78"/>
      <c r="K18" s="203"/>
      <c r="L18" s="88"/>
      <c r="M18" s="115"/>
      <c r="N18" s="115"/>
      <c r="O18" s="115"/>
      <c r="P18" s="88"/>
    </row>
    <row r="19" spans="2:16" ht="12" customHeight="1">
      <c r="C19" s="118"/>
      <c r="D19" s="80" t="s">
        <v>155</v>
      </c>
      <c r="I19" s="75"/>
      <c r="J19" s="78"/>
      <c r="K19" s="203"/>
      <c r="L19" s="88"/>
      <c r="M19" s="115"/>
      <c r="N19" s="115"/>
      <c r="O19" s="115"/>
      <c r="P19" s="88"/>
    </row>
    <row r="20" spans="2:16" ht="12" customHeight="1">
      <c r="C20" s="118"/>
      <c r="D20" s="80"/>
      <c r="I20" s="75"/>
      <c r="J20" s="78"/>
      <c r="K20" s="203"/>
      <c r="L20" s="88"/>
      <c r="M20" s="115"/>
      <c r="N20" s="115"/>
      <c r="O20" s="115"/>
      <c r="P20" s="88"/>
    </row>
    <row r="21" spans="2:16" ht="12" customHeight="1">
      <c r="C21" s="79" t="s">
        <v>157</v>
      </c>
      <c r="D21" s="80"/>
      <c r="I21" s="75"/>
      <c r="J21" s="78"/>
      <c r="K21" s="203"/>
      <c r="L21" s="88"/>
      <c r="M21" s="115"/>
      <c r="N21" s="115"/>
      <c r="O21" s="115"/>
      <c r="P21" s="88"/>
    </row>
    <row r="22" spans="2:16" ht="12" customHeight="1">
      <c r="C22" s="79"/>
      <c r="D22" s="80" t="s">
        <v>158</v>
      </c>
      <c r="E22" s="77"/>
      <c r="F22" s="74"/>
      <c r="G22" s="74"/>
      <c r="H22" s="74"/>
      <c r="I22" s="75"/>
      <c r="J22" s="148"/>
      <c r="K22" s="203"/>
      <c r="L22" s="88"/>
      <c r="M22" s="115"/>
      <c r="N22" s="115"/>
      <c r="O22" s="115"/>
      <c r="P22" s="88"/>
    </row>
    <row r="23" spans="2:16" ht="12" customHeight="1">
      <c r="C23" s="119"/>
      <c r="D23" s="80"/>
      <c r="I23" s="75"/>
      <c r="J23" s="78"/>
      <c r="K23" s="203"/>
      <c r="L23" s="88"/>
      <c r="M23" s="115"/>
      <c r="N23" s="115"/>
      <c r="O23" s="115"/>
      <c r="P23" s="88"/>
    </row>
    <row r="24" spans="2:16" ht="12" customHeight="1">
      <c r="C24" s="120"/>
      <c r="D24" s="121"/>
      <c r="E24" s="81"/>
      <c r="F24" s="82"/>
      <c r="G24" s="82"/>
      <c r="H24" s="82"/>
      <c r="I24" s="83"/>
      <c r="J24" s="84"/>
      <c r="K24" s="203"/>
      <c r="L24" s="88"/>
      <c r="M24" s="88"/>
      <c r="N24" s="88"/>
      <c r="O24" s="88"/>
      <c r="P24" s="88"/>
    </row>
    <row r="25" spans="2:16" ht="12" customHeight="1">
      <c r="C25" s="140"/>
      <c r="D25" s="140"/>
      <c r="E25" s="140"/>
      <c r="F25" s="140"/>
      <c r="G25" s="140"/>
      <c r="H25" s="140"/>
      <c r="I25" s="140"/>
      <c r="J25" s="140"/>
      <c r="K25" s="203"/>
      <c r="L25" s="88"/>
      <c r="M25" s="88"/>
      <c r="N25" s="88"/>
      <c r="O25" s="88"/>
      <c r="P25" s="88"/>
    </row>
    <row r="26" spans="2:16" ht="12" customHeight="1">
      <c r="K26" s="203"/>
      <c r="L26" s="88"/>
      <c r="M26" s="88"/>
      <c r="N26" s="88"/>
      <c r="O26" s="88"/>
      <c r="P26" s="88"/>
    </row>
    <row r="27" spans="2:16" ht="12" customHeight="1">
      <c r="B27" s="25" t="s">
        <v>470</v>
      </c>
      <c r="E27" s="114"/>
      <c r="F27" s="114"/>
      <c r="G27" s="114"/>
      <c r="H27" s="114"/>
      <c r="I27" s="114"/>
      <c r="J27" s="114"/>
      <c r="K27" s="80"/>
      <c r="L27" s="88"/>
      <c r="M27" s="88"/>
      <c r="N27" s="88"/>
      <c r="O27" s="88"/>
      <c r="P27" s="88"/>
    </row>
    <row r="28" spans="2:16" ht="12" customHeight="1">
      <c r="K28" s="203"/>
      <c r="L28" s="88"/>
      <c r="M28" s="115"/>
      <c r="N28" s="115"/>
      <c r="O28" s="115"/>
      <c r="P28" s="88"/>
    </row>
    <row r="29" spans="2:16" ht="12" customHeight="1">
      <c r="C29" s="4" t="s">
        <v>146</v>
      </c>
      <c r="D29" s="62"/>
      <c r="E29" s="62"/>
      <c r="F29" s="62"/>
      <c r="G29" s="62"/>
      <c r="H29" s="62"/>
      <c r="I29" s="62"/>
      <c r="J29" s="62"/>
      <c r="K29" s="203"/>
      <c r="L29" s="88"/>
      <c r="M29" s="115"/>
      <c r="N29" s="115"/>
      <c r="O29" s="115"/>
      <c r="P29" s="88"/>
    </row>
    <row r="30" spans="2:16" ht="12" customHeight="1">
      <c r="C30" s="4" t="s">
        <v>476</v>
      </c>
      <c r="E30" s="62"/>
      <c r="F30" s="62"/>
      <c r="G30" s="62"/>
      <c r="H30" s="62"/>
      <c r="I30" s="62"/>
      <c r="J30" s="62"/>
      <c r="K30" s="203"/>
      <c r="L30" s="88"/>
      <c r="M30" s="115"/>
      <c r="N30" s="115"/>
      <c r="O30" s="115"/>
      <c r="P30" s="88"/>
    </row>
    <row r="31" spans="2:16" ht="12" customHeight="1">
      <c r="E31" s="62"/>
      <c r="F31" s="62"/>
      <c r="G31" s="62"/>
      <c r="H31" s="62"/>
      <c r="I31" s="62"/>
      <c r="J31" s="62"/>
      <c r="K31" s="203"/>
      <c r="L31" s="88"/>
      <c r="M31" s="115"/>
      <c r="N31" s="115"/>
      <c r="O31" s="115"/>
      <c r="P31" s="88"/>
    </row>
    <row r="32" spans="2:16" ht="12" customHeight="1">
      <c r="D32" s="62"/>
      <c r="E32" s="62"/>
      <c r="F32" s="62"/>
      <c r="G32" s="62"/>
      <c r="H32" s="62"/>
      <c r="I32" s="62"/>
      <c r="J32" s="62"/>
      <c r="K32" s="203"/>
      <c r="L32" s="88"/>
      <c r="M32" s="115"/>
      <c r="N32" s="115"/>
      <c r="O32" s="115"/>
      <c r="P32" s="88"/>
    </row>
    <row r="33" spans="3:16" ht="12" customHeight="1">
      <c r="C33" s="18" t="s">
        <v>147</v>
      </c>
      <c r="D33" s="70"/>
      <c r="E33" s="71" t="s">
        <v>148</v>
      </c>
      <c r="F33" s="65"/>
      <c r="G33" s="65"/>
      <c r="H33" s="65"/>
      <c r="I33" s="72"/>
      <c r="J33" s="88" t="s">
        <v>53</v>
      </c>
      <c r="K33" s="203"/>
      <c r="L33" s="88"/>
      <c r="M33" s="115"/>
      <c r="N33" s="115"/>
      <c r="O33" s="115"/>
      <c r="P33" s="88"/>
    </row>
    <row r="34" spans="3:16" ht="12" customHeight="1">
      <c r="C34" s="116" t="s">
        <v>149</v>
      </c>
      <c r="D34" s="117"/>
      <c r="E34" s="73" t="s">
        <v>415</v>
      </c>
      <c r="F34" s="74"/>
      <c r="G34" s="74" t="s">
        <v>424</v>
      </c>
      <c r="H34" s="74"/>
      <c r="I34" s="75" t="s">
        <v>339</v>
      </c>
      <c r="J34" s="76"/>
      <c r="K34" s="203"/>
      <c r="L34" s="88"/>
      <c r="M34" s="115"/>
      <c r="N34" s="115"/>
      <c r="O34" s="115"/>
      <c r="P34" s="88"/>
    </row>
    <row r="35" spans="3:16" ht="12" customHeight="1">
      <c r="C35" s="79"/>
      <c r="D35" s="80" t="s">
        <v>65</v>
      </c>
      <c r="E35" s="73"/>
      <c r="F35" s="74" t="s">
        <v>279</v>
      </c>
      <c r="G35" s="74"/>
      <c r="H35" s="74" t="s">
        <v>419</v>
      </c>
      <c r="I35" s="75" t="s">
        <v>340</v>
      </c>
      <c r="J35" s="78"/>
      <c r="K35" s="203"/>
      <c r="L35" s="88"/>
      <c r="M35" s="115"/>
      <c r="N35" s="115"/>
      <c r="O35" s="115"/>
      <c r="P35" s="86"/>
    </row>
    <row r="36" spans="3:16" ht="12" customHeight="1">
      <c r="C36" s="118"/>
      <c r="D36" s="80"/>
      <c r="E36" s="77"/>
      <c r="F36" s="74" t="s">
        <v>280</v>
      </c>
      <c r="G36" s="74"/>
      <c r="H36" s="74" t="s">
        <v>420</v>
      </c>
      <c r="I36" s="75" t="s">
        <v>341</v>
      </c>
      <c r="J36" s="78"/>
      <c r="K36" s="203"/>
      <c r="L36" s="88"/>
      <c r="M36" s="115"/>
      <c r="N36" s="115"/>
      <c r="O36" s="115"/>
      <c r="P36" s="88"/>
    </row>
    <row r="37" spans="3:16" ht="12" customHeight="1">
      <c r="C37" s="79" t="s">
        <v>150</v>
      </c>
      <c r="D37" s="80"/>
      <c r="E37" s="142"/>
      <c r="F37" s="74" t="s">
        <v>416</v>
      </c>
      <c r="G37" s="74"/>
      <c r="H37" s="74" t="s">
        <v>421</v>
      </c>
      <c r="I37" s="75" t="s">
        <v>342</v>
      </c>
      <c r="J37" s="78" t="s">
        <v>423</v>
      </c>
      <c r="K37" s="203"/>
      <c r="L37" s="88"/>
      <c r="M37" s="115"/>
      <c r="N37" s="115"/>
      <c r="O37" s="115"/>
      <c r="P37" s="88"/>
    </row>
    <row r="38" spans="3:16" ht="12" customHeight="1">
      <c r="C38" s="119"/>
      <c r="D38" s="80" t="s">
        <v>115</v>
      </c>
      <c r="E38" s="73"/>
      <c r="F38" s="4" t="s">
        <v>417</v>
      </c>
      <c r="H38" s="4" t="s">
        <v>422</v>
      </c>
      <c r="I38" s="75" t="s">
        <v>343</v>
      </c>
      <c r="J38" s="78"/>
      <c r="K38" s="203"/>
      <c r="L38" s="88"/>
      <c r="M38" s="115"/>
      <c r="N38" s="115"/>
      <c r="O38" s="115"/>
      <c r="P38" s="88"/>
    </row>
    <row r="39" spans="3:16" ht="12" customHeight="1">
      <c r="C39" s="119"/>
      <c r="D39" s="80"/>
      <c r="E39" s="73"/>
      <c r="F39" s="74" t="s">
        <v>418</v>
      </c>
      <c r="G39" s="74"/>
      <c r="H39" s="74" t="s">
        <v>418</v>
      </c>
      <c r="I39" s="75" t="s">
        <v>344</v>
      </c>
      <c r="J39" s="78" t="s">
        <v>433</v>
      </c>
      <c r="K39" s="203"/>
      <c r="L39" s="88"/>
      <c r="M39" s="115"/>
      <c r="N39" s="115"/>
      <c r="O39" s="115"/>
      <c r="P39" s="88"/>
    </row>
    <row r="40" spans="3:16" ht="12" customHeight="1">
      <c r="C40" s="79" t="s">
        <v>152</v>
      </c>
      <c r="D40" s="80"/>
      <c r="E40" s="73"/>
      <c r="F40" s="74"/>
      <c r="G40" s="74"/>
      <c r="H40" s="74"/>
      <c r="I40" s="75" t="s">
        <v>345</v>
      </c>
      <c r="J40" s="78"/>
      <c r="K40" s="203"/>
      <c r="L40" s="88"/>
      <c r="M40" s="115"/>
      <c r="N40" s="115"/>
      <c r="O40" s="115"/>
      <c r="P40" s="88"/>
    </row>
    <row r="41" spans="3:16" ht="12" customHeight="1">
      <c r="C41" s="79"/>
      <c r="D41" s="80" t="s">
        <v>66</v>
      </c>
      <c r="E41" s="73" t="s">
        <v>425</v>
      </c>
      <c r="F41" s="74"/>
      <c r="G41" s="73" t="s">
        <v>424</v>
      </c>
      <c r="H41" s="74"/>
      <c r="I41" s="75" t="s">
        <v>346</v>
      </c>
      <c r="J41" s="78"/>
      <c r="K41" s="203"/>
      <c r="L41" s="88"/>
      <c r="M41" s="115"/>
      <c r="N41" s="115"/>
      <c r="O41" s="115"/>
      <c r="P41" s="88"/>
    </row>
    <row r="42" spans="3:16" ht="12" customHeight="1">
      <c r="C42" s="79"/>
      <c r="D42" s="80"/>
      <c r="E42" s="73"/>
      <c r="F42" s="74" t="s">
        <v>278</v>
      </c>
      <c r="G42" s="74"/>
      <c r="H42" s="74" t="s">
        <v>428</v>
      </c>
      <c r="I42" s="75" t="s">
        <v>347</v>
      </c>
      <c r="J42" s="78"/>
      <c r="K42" s="203"/>
      <c r="L42" s="88"/>
      <c r="M42" s="115"/>
      <c r="N42" s="115"/>
      <c r="O42" s="115"/>
      <c r="P42" s="88"/>
    </row>
    <row r="43" spans="3:16" ht="12" customHeight="1">
      <c r="C43" s="79" t="s">
        <v>154</v>
      </c>
      <c r="D43" s="80"/>
      <c r="E43" s="77"/>
      <c r="F43" s="74" t="s">
        <v>122</v>
      </c>
      <c r="G43" s="74"/>
      <c r="H43" s="74" t="s">
        <v>429</v>
      </c>
      <c r="I43" s="75" t="s">
        <v>348</v>
      </c>
      <c r="J43" s="78"/>
      <c r="K43" s="203"/>
      <c r="L43" s="88"/>
      <c r="M43" s="115"/>
      <c r="N43" s="115"/>
      <c r="O43" s="115"/>
      <c r="P43" s="88"/>
    </row>
    <row r="44" spans="3:16" ht="12" customHeight="1">
      <c r="C44" s="118"/>
      <c r="D44" s="80" t="s">
        <v>155</v>
      </c>
      <c r="E44" s="77"/>
      <c r="F44" s="74" t="s">
        <v>279</v>
      </c>
      <c r="G44" s="74"/>
      <c r="H44" s="74" t="s">
        <v>419</v>
      </c>
      <c r="I44" s="75" t="s">
        <v>349</v>
      </c>
      <c r="J44" s="78"/>
      <c r="K44" s="203"/>
      <c r="L44" s="88"/>
      <c r="M44" s="115"/>
      <c r="N44" s="115"/>
      <c r="O44" s="115"/>
      <c r="P44" s="88"/>
    </row>
    <row r="45" spans="3:16" ht="12" customHeight="1">
      <c r="C45" s="118"/>
      <c r="D45" s="80"/>
      <c r="E45" s="73"/>
      <c r="F45" s="74" t="s">
        <v>280</v>
      </c>
      <c r="G45" s="74"/>
      <c r="H45" s="74" t="s">
        <v>420</v>
      </c>
      <c r="I45" s="75" t="s">
        <v>350</v>
      </c>
      <c r="J45" s="78"/>
      <c r="K45" s="203"/>
      <c r="L45" s="88"/>
      <c r="M45" s="115"/>
      <c r="N45" s="115"/>
      <c r="O45" s="115"/>
      <c r="P45" s="88"/>
    </row>
    <row r="46" spans="3:16" ht="12" customHeight="1">
      <c r="C46" s="79" t="s">
        <v>157</v>
      </c>
      <c r="D46" s="80"/>
      <c r="E46" s="73"/>
      <c r="F46" s="74" t="s">
        <v>426</v>
      </c>
      <c r="G46" s="74"/>
      <c r="H46" s="74" t="s">
        <v>421</v>
      </c>
      <c r="I46" s="75" t="s">
        <v>351</v>
      </c>
      <c r="J46" s="78" t="s">
        <v>423</v>
      </c>
      <c r="K46" s="203"/>
      <c r="L46" s="88"/>
      <c r="M46" s="115"/>
      <c r="N46" s="115"/>
      <c r="O46" s="115"/>
      <c r="P46" s="88"/>
    </row>
    <row r="47" spans="3:16" ht="12" customHeight="1">
      <c r="C47" s="79"/>
      <c r="D47" s="80" t="s">
        <v>158</v>
      </c>
      <c r="E47" s="142"/>
      <c r="F47" s="74" t="s">
        <v>427</v>
      </c>
      <c r="G47" s="74"/>
      <c r="H47" s="74" t="s">
        <v>422</v>
      </c>
      <c r="I47" s="75" t="s">
        <v>352</v>
      </c>
      <c r="J47" s="148"/>
      <c r="K47" s="203"/>
      <c r="L47" s="88"/>
      <c r="M47" s="115"/>
      <c r="N47" s="115"/>
      <c r="O47" s="115"/>
      <c r="P47" s="88"/>
    </row>
    <row r="48" spans="3:16" ht="12" customHeight="1">
      <c r="C48" s="79"/>
      <c r="D48" s="80"/>
      <c r="E48" s="142"/>
      <c r="F48" s="74" t="s">
        <v>416</v>
      </c>
      <c r="G48" s="74"/>
      <c r="H48" s="74" t="s">
        <v>421</v>
      </c>
      <c r="I48" s="75" t="s">
        <v>353</v>
      </c>
      <c r="J48" s="148" t="s">
        <v>423</v>
      </c>
      <c r="K48" s="203"/>
      <c r="L48" s="88"/>
      <c r="M48" s="115"/>
      <c r="N48" s="115"/>
      <c r="O48" s="115"/>
      <c r="P48" s="88"/>
    </row>
    <row r="49" spans="3:16" ht="12" customHeight="1">
      <c r="C49" s="79"/>
      <c r="D49" s="80"/>
      <c r="E49" s="142"/>
      <c r="F49" s="74" t="s">
        <v>417</v>
      </c>
      <c r="G49" s="74"/>
      <c r="H49" s="74" t="s">
        <v>422</v>
      </c>
      <c r="I49" s="75" t="s">
        <v>354</v>
      </c>
      <c r="J49" s="148"/>
      <c r="K49" s="203"/>
      <c r="L49" s="88"/>
      <c r="M49" s="115"/>
      <c r="N49" s="115"/>
      <c r="O49" s="115"/>
      <c r="P49" s="88"/>
    </row>
    <row r="50" spans="3:16" ht="12" customHeight="1">
      <c r="C50" s="79"/>
      <c r="D50" s="80"/>
      <c r="E50" s="142"/>
      <c r="F50" s="74" t="s">
        <v>418</v>
      </c>
      <c r="G50" s="74"/>
      <c r="H50" s="74" t="s">
        <v>418</v>
      </c>
      <c r="I50" s="75" t="s">
        <v>355</v>
      </c>
      <c r="J50" s="148" t="s">
        <v>433</v>
      </c>
      <c r="K50" s="203"/>
      <c r="L50" s="88"/>
      <c r="M50" s="115"/>
      <c r="N50" s="115"/>
      <c r="O50" s="115"/>
      <c r="P50" s="88"/>
    </row>
    <row r="51" spans="3:16" ht="12" customHeight="1">
      <c r="C51" s="79"/>
      <c r="D51" s="80"/>
      <c r="E51" s="142"/>
      <c r="F51" s="74"/>
      <c r="G51" s="74"/>
      <c r="H51" s="74"/>
      <c r="I51" s="75" t="s">
        <v>356</v>
      </c>
      <c r="J51" s="148"/>
      <c r="K51" s="203"/>
      <c r="L51" s="88"/>
      <c r="M51" s="115"/>
      <c r="N51" s="115"/>
      <c r="O51" s="115"/>
      <c r="P51" s="88"/>
    </row>
    <row r="52" spans="3:16" ht="12" customHeight="1">
      <c r="C52" s="79"/>
      <c r="D52" s="80"/>
      <c r="E52" s="142"/>
      <c r="F52" s="74"/>
      <c r="G52" s="74"/>
      <c r="H52" s="74"/>
      <c r="I52" s="75" t="s">
        <v>357</v>
      </c>
      <c r="J52" s="148"/>
      <c r="K52" s="203"/>
      <c r="L52" s="88"/>
      <c r="M52" s="115"/>
      <c r="N52" s="115"/>
      <c r="O52" s="115"/>
      <c r="P52" s="88"/>
    </row>
    <row r="53" spans="3:16" ht="12" customHeight="1">
      <c r="C53" s="79"/>
      <c r="D53" s="80"/>
      <c r="E53" s="142"/>
      <c r="F53" s="74"/>
      <c r="G53" s="74"/>
      <c r="H53" s="74"/>
      <c r="I53" s="75" t="s">
        <v>431</v>
      </c>
      <c r="J53" s="148"/>
      <c r="K53" s="203"/>
      <c r="L53" s="88"/>
      <c r="M53" s="115"/>
      <c r="N53" s="115"/>
      <c r="O53" s="115"/>
      <c r="P53" s="88"/>
    </row>
    <row r="54" spans="3:16" ht="12" customHeight="1">
      <c r="C54" s="79"/>
      <c r="D54" s="80"/>
      <c r="E54" s="142"/>
      <c r="F54" s="74"/>
      <c r="G54" s="74"/>
      <c r="H54" s="74"/>
      <c r="I54" s="75" t="s">
        <v>358</v>
      </c>
      <c r="J54" s="148"/>
      <c r="K54" s="203"/>
      <c r="L54" s="88"/>
      <c r="M54" s="115"/>
      <c r="N54" s="115"/>
      <c r="O54" s="115"/>
      <c r="P54" s="88"/>
    </row>
    <row r="55" spans="3:16" ht="12" customHeight="1">
      <c r="C55" s="79"/>
      <c r="D55" s="80"/>
      <c r="E55" s="142"/>
      <c r="F55" s="74"/>
      <c r="G55" s="74"/>
      <c r="H55" s="74"/>
      <c r="I55" s="75" t="s">
        <v>434</v>
      </c>
      <c r="J55" s="148"/>
      <c r="K55" s="203"/>
      <c r="L55" s="88"/>
      <c r="M55" s="115"/>
      <c r="N55" s="115"/>
      <c r="O55" s="115"/>
      <c r="P55" s="88"/>
    </row>
    <row r="56" spans="3:16" ht="12" customHeight="1">
      <c r="C56" s="79"/>
      <c r="D56" s="80"/>
      <c r="E56" s="142"/>
      <c r="F56" s="74"/>
      <c r="G56" s="74"/>
      <c r="H56" s="74"/>
      <c r="I56" s="75" t="s">
        <v>359</v>
      </c>
      <c r="J56" s="148"/>
      <c r="K56" s="203"/>
      <c r="L56" s="88"/>
      <c r="M56" s="115"/>
      <c r="N56" s="115"/>
      <c r="O56" s="115"/>
      <c r="P56" s="88"/>
    </row>
    <row r="57" spans="3:16" ht="12" customHeight="1">
      <c r="C57" s="79"/>
      <c r="D57" s="80"/>
      <c r="E57" s="142"/>
      <c r="F57" s="74"/>
      <c r="G57" s="74"/>
      <c r="H57" s="74"/>
      <c r="I57" s="75" t="s">
        <v>360</v>
      </c>
      <c r="J57" s="148"/>
      <c r="K57" s="203"/>
      <c r="L57" s="88"/>
      <c r="M57" s="115"/>
      <c r="N57" s="115"/>
      <c r="O57" s="115"/>
      <c r="P57" s="88"/>
    </row>
    <row r="58" spans="3:16" ht="12" customHeight="1">
      <c r="C58" s="79"/>
      <c r="D58" s="80"/>
      <c r="E58" s="142"/>
      <c r="F58" s="74"/>
      <c r="G58" s="74"/>
      <c r="H58" s="74"/>
      <c r="I58" s="75" t="s">
        <v>361</v>
      </c>
      <c r="J58" s="148"/>
      <c r="K58" s="203"/>
      <c r="L58" s="88"/>
      <c r="M58" s="115"/>
      <c r="N58" s="115"/>
      <c r="O58" s="115"/>
      <c r="P58" s="88"/>
    </row>
    <row r="59" spans="3:16" ht="12" customHeight="1">
      <c r="C59" s="79"/>
      <c r="D59" s="80"/>
      <c r="E59" s="142"/>
      <c r="F59" s="74"/>
      <c r="G59" s="74"/>
      <c r="H59" s="74"/>
      <c r="I59" s="75" t="s">
        <v>362</v>
      </c>
      <c r="J59" s="148"/>
      <c r="K59" s="203"/>
      <c r="L59" s="88"/>
      <c r="M59" s="115"/>
      <c r="N59" s="115"/>
      <c r="O59" s="115"/>
      <c r="P59" s="88"/>
    </row>
    <row r="60" spans="3:16" ht="12" customHeight="1">
      <c r="C60" s="79"/>
      <c r="D60" s="80"/>
      <c r="E60" s="142"/>
      <c r="F60" s="74"/>
      <c r="G60" s="74"/>
      <c r="H60" s="74"/>
      <c r="I60" s="75" t="s">
        <v>363</v>
      </c>
      <c r="J60" s="148"/>
      <c r="K60" s="203"/>
      <c r="L60" s="88"/>
      <c r="M60" s="115"/>
      <c r="N60" s="115"/>
      <c r="O60" s="115"/>
      <c r="P60" s="88"/>
    </row>
    <row r="61" spans="3:16" ht="12" customHeight="1">
      <c r="C61" s="79"/>
      <c r="D61" s="80"/>
      <c r="E61" s="142"/>
      <c r="F61" s="74"/>
      <c r="G61" s="74"/>
      <c r="H61" s="74"/>
      <c r="I61" s="75" t="s">
        <v>364</v>
      </c>
      <c r="J61" s="148"/>
      <c r="K61" s="203"/>
      <c r="L61" s="88"/>
      <c r="M61" s="115"/>
      <c r="N61" s="115"/>
      <c r="O61" s="115"/>
      <c r="P61" s="88"/>
    </row>
    <row r="62" spans="3:16" ht="12" customHeight="1">
      <c r="C62" s="79"/>
      <c r="D62" s="80"/>
      <c r="E62" s="142"/>
      <c r="F62" s="74"/>
      <c r="G62" s="74"/>
      <c r="H62" s="74"/>
      <c r="I62" s="75" t="s">
        <v>365</v>
      </c>
      <c r="J62" s="148"/>
      <c r="K62" s="203"/>
      <c r="L62" s="88"/>
      <c r="M62" s="115"/>
      <c r="N62" s="115"/>
      <c r="O62" s="115"/>
      <c r="P62" s="88"/>
    </row>
    <row r="63" spans="3:16" ht="12" customHeight="1">
      <c r="C63" s="79"/>
      <c r="D63" s="80"/>
      <c r="E63" s="142"/>
      <c r="F63" s="74"/>
      <c r="G63" s="74"/>
      <c r="H63" s="74"/>
      <c r="I63" s="75" t="s">
        <v>366</v>
      </c>
      <c r="J63" s="148"/>
      <c r="K63" s="203"/>
      <c r="L63" s="88"/>
      <c r="M63" s="115"/>
      <c r="N63" s="115"/>
      <c r="O63" s="115"/>
      <c r="P63" s="88"/>
    </row>
    <row r="64" spans="3:16" ht="12" customHeight="1">
      <c r="C64" s="79"/>
      <c r="D64" s="80"/>
      <c r="E64" s="142"/>
      <c r="F64" s="74"/>
      <c r="G64" s="74"/>
      <c r="H64" s="74"/>
      <c r="I64" s="75" t="s">
        <v>367</v>
      </c>
      <c r="J64" s="148"/>
      <c r="K64" s="203"/>
      <c r="L64" s="88"/>
      <c r="M64" s="115"/>
      <c r="N64" s="115"/>
      <c r="O64" s="115"/>
      <c r="P64" s="88"/>
    </row>
    <row r="65" spans="3:16" ht="12" customHeight="1">
      <c r="C65" s="79"/>
      <c r="D65" s="80"/>
      <c r="E65" s="142"/>
      <c r="F65" s="74"/>
      <c r="G65" s="74"/>
      <c r="H65" s="74"/>
      <c r="I65" s="75" t="s">
        <v>368</v>
      </c>
      <c r="J65" s="148"/>
      <c r="K65" s="203"/>
      <c r="L65" s="88"/>
      <c r="M65" s="115"/>
      <c r="N65" s="115"/>
      <c r="O65" s="115"/>
      <c r="P65" s="88"/>
    </row>
    <row r="66" spans="3:16" ht="12" customHeight="1">
      <c r="C66" s="79"/>
      <c r="D66" s="80"/>
      <c r="E66" s="142"/>
      <c r="F66" s="74"/>
      <c r="G66" s="74"/>
      <c r="H66" s="74"/>
      <c r="I66" s="75" t="s">
        <v>369</v>
      </c>
      <c r="J66" s="148"/>
      <c r="K66" s="203"/>
      <c r="L66" s="88"/>
      <c r="M66" s="115"/>
      <c r="N66" s="115"/>
      <c r="O66" s="115"/>
      <c r="P66" s="88"/>
    </row>
    <row r="67" spans="3:16" ht="12" customHeight="1">
      <c r="C67" s="79"/>
      <c r="D67" s="80"/>
      <c r="E67" s="142"/>
      <c r="F67" s="74"/>
      <c r="G67" s="74"/>
      <c r="H67" s="74"/>
      <c r="I67" s="75" t="s">
        <v>370</v>
      </c>
      <c r="J67" s="148"/>
      <c r="K67" s="203"/>
      <c r="L67" s="88"/>
      <c r="M67" s="115"/>
      <c r="N67" s="115"/>
      <c r="O67" s="115"/>
      <c r="P67" s="88"/>
    </row>
    <row r="68" spans="3:16" ht="12" customHeight="1">
      <c r="C68" s="79"/>
      <c r="D68" s="80"/>
      <c r="E68" s="142"/>
      <c r="F68" s="74"/>
      <c r="G68" s="74"/>
      <c r="H68" s="74"/>
      <c r="I68" s="75" t="s">
        <v>371</v>
      </c>
      <c r="J68" s="148"/>
      <c r="K68" s="203"/>
      <c r="L68" s="88"/>
      <c r="M68" s="115"/>
      <c r="N68" s="115"/>
      <c r="O68" s="115"/>
      <c r="P68" s="88"/>
    </row>
    <row r="69" spans="3:16" ht="12" customHeight="1">
      <c r="C69" s="79"/>
      <c r="D69" s="80"/>
      <c r="E69" s="142"/>
      <c r="F69" s="74"/>
      <c r="G69" s="74"/>
      <c r="H69" s="74"/>
      <c r="I69" s="75" t="s">
        <v>372</v>
      </c>
      <c r="J69" s="148"/>
      <c r="K69" s="203"/>
      <c r="L69" s="88"/>
      <c r="M69" s="115"/>
      <c r="N69" s="115"/>
      <c r="O69" s="115"/>
      <c r="P69" s="88"/>
    </row>
    <row r="70" spans="3:16" ht="12" customHeight="1">
      <c r="C70" s="79"/>
      <c r="D70" s="80"/>
      <c r="E70" s="142"/>
      <c r="F70" s="74"/>
      <c r="G70" s="74"/>
      <c r="H70" s="74"/>
      <c r="I70" s="75" t="s">
        <v>373</v>
      </c>
      <c r="J70" s="148"/>
      <c r="K70" s="203"/>
      <c r="L70" s="88"/>
      <c r="M70" s="115"/>
      <c r="N70" s="115"/>
      <c r="O70" s="115"/>
      <c r="P70" s="88"/>
    </row>
    <row r="71" spans="3:16" ht="12" customHeight="1">
      <c r="C71" s="79"/>
      <c r="D71" s="80"/>
      <c r="E71" s="142"/>
      <c r="F71" s="74"/>
      <c r="G71" s="74"/>
      <c r="H71" s="74"/>
      <c r="I71" s="75" t="s">
        <v>374</v>
      </c>
      <c r="J71" s="148"/>
      <c r="K71" s="203"/>
      <c r="L71" s="88"/>
      <c r="M71" s="115"/>
      <c r="N71" s="115"/>
      <c r="O71" s="115"/>
      <c r="P71" s="88"/>
    </row>
    <row r="72" spans="3:16" ht="12" customHeight="1">
      <c r="C72" s="79"/>
      <c r="D72" s="80"/>
      <c r="E72" s="142"/>
      <c r="F72" s="74"/>
      <c r="G72" s="74"/>
      <c r="H72" s="74"/>
      <c r="I72" s="75" t="s">
        <v>432</v>
      </c>
      <c r="J72" s="148"/>
      <c r="K72" s="203"/>
      <c r="L72" s="88"/>
      <c r="M72" s="115"/>
      <c r="N72" s="115"/>
      <c r="O72" s="115"/>
      <c r="P72" s="88"/>
    </row>
    <row r="73" spans="3:16" ht="12" customHeight="1">
      <c r="C73" s="79"/>
      <c r="D73" s="80"/>
      <c r="E73" s="142"/>
      <c r="F73" s="74"/>
      <c r="G73" s="74"/>
      <c r="H73" s="74"/>
      <c r="I73" s="75" t="s">
        <v>375</v>
      </c>
      <c r="J73" s="148"/>
      <c r="K73" s="203"/>
      <c r="L73" s="88"/>
      <c r="M73" s="115"/>
      <c r="N73" s="115"/>
      <c r="O73" s="115"/>
      <c r="P73" s="88"/>
    </row>
    <row r="74" spans="3:16" ht="12" customHeight="1">
      <c r="C74" s="79"/>
      <c r="D74" s="80"/>
      <c r="E74" s="142"/>
      <c r="F74" s="74"/>
      <c r="G74" s="74"/>
      <c r="H74" s="74"/>
      <c r="I74" s="75" t="s">
        <v>432</v>
      </c>
      <c r="J74" s="148"/>
      <c r="K74" s="203"/>
      <c r="L74" s="88"/>
      <c r="M74" s="115"/>
      <c r="N74" s="115"/>
      <c r="O74" s="115"/>
      <c r="P74" s="88"/>
    </row>
    <row r="75" spans="3:16" ht="12" customHeight="1">
      <c r="C75" s="79"/>
      <c r="D75" s="80"/>
      <c r="E75" s="142"/>
      <c r="F75" s="74"/>
      <c r="G75" s="74"/>
      <c r="H75" s="74"/>
      <c r="I75" s="75" t="s">
        <v>375</v>
      </c>
      <c r="J75" s="148"/>
      <c r="K75" s="203"/>
      <c r="L75" s="88"/>
      <c r="M75" s="115"/>
      <c r="N75" s="115"/>
      <c r="O75" s="115"/>
      <c r="P75" s="88"/>
    </row>
    <row r="76" spans="3:16" ht="12" customHeight="1">
      <c r="C76" s="79"/>
      <c r="D76" s="80"/>
      <c r="E76" s="142"/>
      <c r="F76" s="74"/>
      <c r="G76" s="74"/>
      <c r="H76" s="74"/>
      <c r="I76" s="4" t="s">
        <v>435</v>
      </c>
      <c r="J76" s="148"/>
      <c r="K76" s="203"/>
      <c r="L76" s="88"/>
      <c r="M76" s="115"/>
      <c r="N76" s="115"/>
      <c r="O76" s="115"/>
      <c r="P76" s="88"/>
    </row>
    <row r="77" spans="3:16" ht="12" customHeight="1">
      <c r="C77" s="79"/>
      <c r="D77" s="80"/>
      <c r="E77" s="77"/>
      <c r="F77" s="205"/>
      <c r="G77" s="205"/>
      <c r="H77" s="205"/>
      <c r="I77" s="4" t="s">
        <v>376</v>
      </c>
      <c r="J77" s="148"/>
      <c r="K77" s="203"/>
      <c r="L77" s="88"/>
      <c r="M77" s="115"/>
      <c r="N77" s="115"/>
      <c r="O77" s="115"/>
      <c r="P77" s="88"/>
    </row>
    <row r="78" spans="3:16" ht="12" customHeight="1">
      <c r="C78" s="143"/>
      <c r="D78" s="121"/>
      <c r="E78" s="81"/>
      <c r="F78" s="82"/>
      <c r="G78" s="82"/>
      <c r="H78" s="82"/>
      <c r="I78" s="83"/>
      <c r="J78" s="144"/>
      <c r="K78" s="203"/>
      <c r="L78" s="88"/>
      <c r="M78" s="115"/>
      <c r="N78" s="115"/>
      <c r="O78" s="115"/>
      <c r="P78" s="88"/>
    </row>
    <row r="87" spans="9:9" ht="12" customHeight="1">
      <c r="I87" s="311"/>
    </row>
  </sheetData>
  <phoneticPr fontId="7"/>
  <pageMargins left="0.23622047244094491" right="0.23622047244094491" top="0.35433070866141736" bottom="0.35433070866141736" header="0.11811023622047245" footer="0.11811023622047245"/>
  <pageSetup paperSize="9" scale="52" fitToHeight="0" orientation="landscape" r:id="rId1"/>
  <headerFooter alignWithMargins="0">
    <oddFooter>&amp;P / &amp;N ページ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FFB1C-0955-484B-8DB3-BCFE32D38C50}">
  <sheetPr>
    <pageSetUpPr fitToPage="1"/>
  </sheetPr>
  <dimension ref="A1:BR44"/>
  <sheetViews>
    <sheetView showGridLines="0" view="pageBreakPreview" zoomScaleNormal="100" zoomScaleSheetLayoutView="100" workbookViewId="0"/>
  </sheetViews>
  <sheetFormatPr defaultColWidth="2.5703125" defaultRowHeight="12"/>
  <cols>
    <col min="1" max="4" width="2.5703125" style="312"/>
    <col min="5" max="5" width="2.5703125" style="312" customWidth="1"/>
    <col min="6" max="8" width="2.5703125" style="312"/>
    <col min="9" max="10" width="2.5703125" style="312" customWidth="1"/>
    <col min="11" max="16384" width="2.5703125" style="312"/>
  </cols>
  <sheetData>
    <row r="1" spans="1:70" s="315" customFormat="1">
      <c r="A1" s="314"/>
      <c r="B1" s="318"/>
      <c r="C1" s="314"/>
      <c r="D1" s="325"/>
      <c r="E1" s="325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  <c r="R1" s="320"/>
      <c r="AP1" s="319"/>
      <c r="AQ1" s="319"/>
      <c r="AR1" s="319"/>
      <c r="AS1" s="319"/>
      <c r="AT1" s="316"/>
      <c r="AU1" s="316"/>
      <c r="AV1" s="316"/>
      <c r="AW1" s="316"/>
      <c r="AX1" s="316"/>
      <c r="AY1" s="316"/>
      <c r="AZ1" s="316"/>
      <c r="BA1" s="316"/>
      <c r="BB1" s="316"/>
      <c r="BC1" s="316"/>
      <c r="BD1" s="316"/>
    </row>
    <row r="2" spans="1:70">
      <c r="A2" s="317"/>
      <c r="B2" s="318" t="s">
        <v>457</v>
      </c>
      <c r="C2" s="314"/>
      <c r="D2" s="325"/>
      <c r="E2" s="325"/>
      <c r="F2" s="320"/>
      <c r="G2" s="320"/>
      <c r="H2" s="320"/>
      <c r="I2" s="320"/>
      <c r="J2" s="320"/>
      <c r="K2" s="320"/>
      <c r="L2" s="320"/>
      <c r="M2" s="320"/>
      <c r="N2" s="320"/>
      <c r="O2" s="320"/>
      <c r="P2" s="320"/>
      <c r="Q2" s="320"/>
      <c r="R2" s="320"/>
      <c r="S2" s="315"/>
      <c r="T2" s="315"/>
      <c r="U2" s="315"/>
      <c r="V2" s="315"/>
      <c r="W2" s="315"/>
      <c r="X2" s="315"/>
      <c r="Y2" s="315"/>
      <c r="Z2" s="315"/>
      <c r="AA2" s="315"/>
      <c r="AB2" s="315"/>
      <c r="AC2" s="315"/>
      <c r="AD2" s="315"/>
      <c r="AE2" s="315"/>
      <c r="AF2" s="315"/>
      <c r="AG2" s="315"/>
      <c r="AH2" s="315"/>
      <c r="AI2" s="315"/>
      <c r="AJ2" s="315"/>
      <c r="AK2" s="315"/>
      <c r="AL2" s="315"/>
      <c r="AM2" s="315"/>
      <c r="AN2" s="315"/>
      <c r="AO2" s="315"/>
      <c r="AP2" s="319"/>
      <c r="AQ2" s="319"/>
      <c r="AR2" s="319"/>
      <c r="AS2" s="319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6"/>
      <c r="BE2" s="315"/>
      <c r="BF2" s="315"/>
      <c r="BG2" s="315"/>
      <c r="BH2" s="315"/>
      <c r="BI2" s="315"/>
      <c r="BJ2" s="315"/>
      <c r="BK2" s="315"/>
      <c r="BL2" s="315"/>
      <c r="BM2" s="315"/>
      <c r="BN2" s="315"/>
      <c r="BO2" s="315"/>
      <c r="BP2" s="315"/>
    </row>
    <row r="3" spans="1:70">
      <c r="A3" s="317"/>
      <c r="B3" s="321"/>
      <c r="C3" s="314"/>
      <c r="D3" s="325"/>
      <c r="E3" s="325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9"/>
      <c r="AQ3" s="319"/>
      <c r="AR3" s="319"/>
      <c r="AS3" s="319"/>
      <c r="AT3" s="316"/>
      <c r="AU3" s="316"/>
      <c r="AV3" s="316"/>
      <c r="AW3" s="315"/>
      <c r="AX3" s="315"/>
      <c r="AY3" s="315"/>
      <c r="AZ3" s="315"/>
      <c r="BA3" s="315"/>
      <c r="BB3" s="315"/>
      <c r="BC3" s="315"/>
      <c r="BD3" s="315"/>
      <c r="BE3" s="316"/>
      <c r="BF3" s="316"/>
      <c r="BG3" s="316"/>
      <c r="BH3" s="316"/>
      <c r="BI3" s="316"/>
      <c r="BJ3" s="316"/>
      <c r="BK3" s="316"/>
      <c r="BL3" s="316"/>
      <c r="BM3" s="315"/>
      <c r="BN3" s="315"/>
      <c r="BO3" s="315"/>
      <c r="BP3" s="315"/>
      <c r="BQ3" s="315"/>
      <c r="BR3" s="315"/>
    </row>
    <row r="4" spans="1:70">
      <c r="A4" s="317"/>
      <c r="B4" s="321"/>
      <c r="C4" s="314"/>
      <c r="D4" s="314"/>
      <c r="E4" s="314"/>
      <c r="F4" s="315"/>
      <c r="G4" s="315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5"/>
      <c r="U4" s="315"/>
      <c r="V4" s="315"/>
      <c r="W4" s="315"/>
      <c r="X4" s="315"/>
      <c r="Y4" s="315"/>
      <c r="Z4" s="315"/>
      <c r="AA4" s="315"/>
      <c r="AB4" s="315"/>
      <c r="AC4" s="315"/>
      <c r="AD4" s="315"/>
      <c r="AE4" s="315"/>
      <c r="AF4" s="315"/>
      <c r="AG4" s="315"/>
      <c r="AH4" s="315"/>
      <c r="AI4" s="315"/>
      <c r="AJ4" s="315"/>
      <c r="AK4" s="315"/>
      <c r="AL4" s="315"/>
      <c r="AM4" s="315"/>
      <c r="AN4" s="315"/>
      <c r="AO4" s="315"/>
      <c r="AP4" s="319"/>
      <c r="AQ4" s="319"/>
      <c r="AR4" s="319"/>
      <c r="AS4" s="319"/>
      <c r="AT4" s="316"/>
      <c r="AU4" s="316"/>
      <c r="AV4" s="316"/>
      <c r="AW4" s="316"/>
      <c r="AX4" s="316"/>
      <c r="AY4" s="316"/>
      <c r="AZ4" s="316"/>
      <c r="BA4" s="316"/>
      <c r="BB4" s="316"/>
      <c r="BC4" s="316"/>
      <c r="BD4" s="316"/>
      <c r="BE4" s="315"/>
      <c r="BF4" s="315"/>
      <c r="BG4" s="315"/>
      <c r="BH4" s="315"/>
      <c r="BI4" s="315"/>
      <c r="BJ4" s="315"/>
      <c r="BK4" s="315"/>
      <c r="BL4" s="315"/>
      <c r="BM4" s="315"/>
      <c r="BN4" s="315"/>
      <c r="BO4" s="315"/>
      <c r="BP4" s="315"/>
      <c r="BQ4" s="315"/>
      <c r="BR4" s="315"/>
    </row>
    <row r="5" spans="1:70">
      <c r="A5" s="313"/>
      <c r="B5" s="316"/>
      <c r="C5" s="314"/>
      <c r="D5" s="314"/>
      <c r="E5" s="314"/>
      <c r="F5" s="315"/>
      <c r="G5" s="315"/>
      <c r="H5" s="315"/>
      <c r="I5" s="315"/>
      <c r="J5" s="315"/>
      <c r="K5" s="315"/>
      <c r="L5" s="315"/>
      <c r="M5" s="315"/>
      <c r="N5" s="315"/>
      <c r="O5" s="315"/>
      <c r="P5" s="315"/>
      <c r="Q5" s="315"/>
      <c r="R5" s="315"/>
      <c r="S5" s="315"/>
      <c r="T5" s="315"/>
      <c r="U5" s="315"/>
      <c r="V5" s="315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9"/>
      <c r="AI5" s="319"/>
      <c r="AJ5" s="319"/>
      <c r="AK5" s="319"/>
      <c r="AL5" s="319"/>
      <c r="AM5" s="319"/>
      <c r="AN5" s="319"/>
      <c r="AO5" s="319"/>
      <c r="AP5" s="319"/>
      <c r="AQ5" s="319"/>
      <c r="AR5" s="319"/>
      <c r="AS5" s="319"/>
      <c r="AT5" s="316"/>
      <c r="AU5" s="316"/>
      <c r="AV5" s="316"/>
      <c r="AW5" s="316"/>
      <c r="AX5" s="316"/>
      <c r="AY5" s="316"/>
      <c r="AZ5" s="316"/>
      <c r="BA5" s="316"/>
      <c r="BB5" s="316"/>
      <c r="BC5" s="316"/>
      <c r="BD5" s="316"/>
      <c r="BE5" s="316"/>
      <c r="BF5" s="316"/>
      <c r="BG5" s="316"/>
      <c r="BH5" s="316"/>
      <c r="BI5" s="316"/>
      <c r="BJ5" s="316"/>
      <c r="BK5" s="316"/>
      <c r="BL5" s="316"/>
      <c r="BM5" s="315"/>
      <c r="BN5" s="315"/>
      <c r="BO5" s="315"/>
      <c r="BP5" s="315"/>
      <c r="BQ5" s="315"/>
      <c r="BR5" s="315"/>
    </row>
    <row r="6" spans="1:70">
      <c r="A6" s="326"/>
      <c r="B6" s="321"/>
      <c r="C6" s="319"/>
      <c r="D6" s="319"/>
      <c r="E6" s="319"/>
      <c r="F6" s="319"/>
      <c r="G6" s="319"/>
      <c r="H6" s="319"/>
      <c r="I6" s="319"/>
      <c r="J6" s="319"/>
      <c r="K6" s="319"/>
      <c r="L6" s="319"/>
      <c r="M6" s="319"/>
      <c r="N6" s="319"/>
      <c r="O6" s="319"/>
      <c r="P6" s="319"/>
      <c r="Q6" s="319"/>
      <c r="R6" s="319"/>
      <c r="S6" s="319"/>
      <c r="T6" s="319"/>
      <c r="U6" s="319"/>
      <c r="V6" s="319"/>
      <c r="W6" s="319"/>
      <c r="X6" s="319"/>
      <c r="Y6" s="319"/>
      <c r="Z6" s="319"/>
      <c r="AA6" s="319"/>
      <c r="AB6" s="319"/>
      <c r="AC6" s="319"/>
      <c r="AD6" s="319"/>
      <c r="AE6" s="319"/>
      <c r="AF6" s="319"/>
      <c r="AG6" s="319"/>
      <c r="AH6" s="319"/>
      <c r="AI6" s="319"/>
      <c r="AJ6" s="319"/>
      <c r="AK6" s="319"/>
      <c r="AL6" s="319"/>
      <c r="AM6" s="319"/>
      <c r="AN6" s="319"/>
      <c r="AO6" s="319"/>
      <c r="AP6" s="319"/>
      <c r="AQ6" s="319"/>
      <c r="AR6" s="319"/>
      <c r="AS6" s="319"/>
      <c r="AT6" s="316"/>
      <c r="AU6" s="316"/>
      <c r="AV6" s="316"/>
      <c r="AW6" s="323"/>
      <c r="AX6" s="323"/>
      <c r="AY6" s="323"/>
      <c r="AZ6" s="323"/>
      <c r="BA6" s="323"/>
      <c r="BB6" s="323"/>
      <c r="BC6" s="323"/>
      <c r="BD6" s="323"/>
      <c r="BE6" s="316"/>
      <c r="BF6" s="316"/>
      <c r="BG6" s="316"/>
      <c r="BH6" s="316"/>
      <c r="BI6" s="316"/>
      <c r="BJ6" s="316"/>
      <c r="BK6" s="316"/>
      <c r="BL6" s="316"/>
      <c r="BM6" s="315"/>
      <c r="BN6" s="315"/>
      <c r="BO6" s="315"/>
      <c r="BP6" s="315"/>
      <c r="BQ6" s="315"/>
      <c r="BR6" s="315"/>
    </row>
    <row r="7" spans="1:70">
      <c r="A7" s="317"/>
      <c r="B7" s="321"/>
      <c r="C7" s="319"/>
      <c r="D7" s="319"/>
      <c r="E7" s="319"/>
      <c r="F7" s="319"/>
      <c r="G7" s="319"/>
      <c r="H7" s="319"/>
      <c r="I7" s="319"/>
      <c r="J7" s="319"/>
      <c r="K7" s="319"/>
      <c r="L7" s="319"/>
      <c r="M7" s="319"/>
      <c r="N7" s="319"/>
      <c r="O7" s="319"/>
      <c r="P7" s="319"/>
      <c r="Q7" s="319"/>
      <c r="R7" s="319"/>
      <c r="S7" s="319"/>
      <c r="T7" s="319"/>
      <c r="U7" s="319"/>
      <c r="V7" s="319"/>
      <c r="W7" s="319"/>
      <c r="X7" s="319"/>
      <c r="Y7" s="319"/>
      <c r="Z7" s="319"/>
      <c r="AA7" s="319"/>
      <c r="AB7" s="319"/>
      <c r="AC7" s="319"/>
      <c r="AD7" s="319"/>
      <c r="AE7" s="319"/>
      <c r="AF7" s="319"/>
      <c r="AG7" s="319"/>
      <c r="AH7" s="319"/>
      <c r="AI7" s="319"/>
      <c r="AJ7" s="319"/>
      <c r="AK7" s="319"/>
      <c r="AL7" s="319"/>
      <c r="AM7" s="319"/>
      <c r="AN7" s="319"/>
      <c r="AO7" s="319"/>
      <c r="AP7" s="319"/>
      <c r="AQ7" s="319"/>
      <c r="AR7" s="319"/>
      <c r="AS7" s="319"/>
      <c r="AT7" s="316"/>
      <c r="AU7" s="316"/>
      <c r="AV7" s="316"/>
      <c r="AW7" s="323"/>
      <c r="AX7" s="323"/>
      <c r="AY7" s="323"/>
      <c r="AZ7" s="323"/>
      <c r="BA7" s="323"/>
      <c r="BB7" s="323"/>
      <c r="BC7" s="323"/>
      <c r="BD7" s="323"/>
      <c r="BE7" s="323"/>
      <c r="BF7" s="323"/>
      <c r="BG7" s="323"/>
      <c r="BH7" s="323"/>
      <c r="BI7" s="323"/>
      <c r="BJ7" s="323"/>
      <c r="BK7" s="323"/>
      <c r="BL7" s="323"/>
      <c r="BM7" s="323"/>
      <c r="BN7" s="323"/>
      <c r="BO7" s="323"/>
      <c r="BP7" s="323"/>
      <c r="BQ7" s="323"/>
      <c r="BR7" s="323"/>
    </row>
    <row r="8" spans="1:70">
      <c r="A8" s="317"/>
      <c r="B8" s="321"/>
      <c r="C8" s="319"/>
      <c r="D8" s="319"/>
      <c r="E8" s="319"/>
      <c r="F8" s="319"/>
      <c r="G8" s="319"/>
      <c r="H8" s="319"/>
      <c r="I8" s="319"/>
      <c r="J8" s="319"/>
      <c r="K8" s="319"/>
      <c r="L8" s="319"/>
      <c r="M8" s="319"/>
      <c r="N8" s="319"/>
      <c r="O8" s="319"/>
      <c r="P8" s="319"/>
      <c r="Q8" s="319"/>
      <c r="R8" s="319"/>
      <c r="S8" s="319"/>
      <c r="T8" s="319"/>
      <c r="U8" s="319"/>
      <c r="V8" s="319"/>
      <c r="W8" s="319"/>
      <c r="X8" s="319"/>
      <c r="Y8" s="319"/>
      <c r="Z8" s="319"/>
      <c r="AA8" s="319"/>
      <c r="AB8" s="319"/>
      <c r="AC8" s="319"/>
      <c r="AD8" s="319"/>
      <c r="AE8" s="319"/>
      <c r="AF8" s="319"/>
      <c r="AG8" s="319"/>
      <c r="AH8" s="319"/>
      <c r="AI8" s="319"/>
      <c r="AJ8" s="319"/>
      <c r="AK8" s="319"/>
      <c r="AL8" s="319"/>
      <c r="AM8" s="319"/>
      <c r="AN8" s="319"/>
      <c r="AO8" s="319"/>
      <c r="AP8" s="319"/>
      <c r="AQ8" s="319"/>
      <c r="AR8" s="319"/>
      <c r="AS8" s="319"/>
      <c r="AT8" s="316"/>
      <c r="AU8" s="316"/>
      <c r="AV8" s="316"/>
      <c r="AW8" s="316"/>
      <c r="AX8" s="316"/>
      <c r="AY8" s="316"/>
      <c r="AZ8" s="316"/>
      <c r="BA8" s="316"/>
      <c r="BB8" s="316"/>
      <c r="BE8" s="323"/>
      <c r="BF8" s="323"/>
      <c r="BG8" s="323"/>
      <c r="BH8" s="323"/>
      <c r="BI8" s="323"/>
      <c r="BJ8" s="323"/>
      <c r="BK8" s="323"/>
      <c r="BL8" s="323"/>
      <c r="BM8" s="323"/>
      <c r="BN8" s="323"/>
      <c r="BO8" s="323"/>
      <c r="BP8" s="323"/>
      <c r="BQ8" s="323"/>
      <c r="BR8" s="323"/>
    </row>
    <row r="9" spans="1:70">
      <c r="A9" s="317"/>
      <c r="B9" s="321"/>
      <c r="C9" s="319"/>
      <c r="D9" s="319"/>
      <c r="E9" s="319"/>
      <c r="F9" s="319"/>
      <c r="G9" s="319"/>
      <c r="H9" s="319"/>
      <c r="I9" s="319"/>
      <c r="J9" s="319"/>
      <c r="K9" s="319"/>
      <c r="L9" s="319"/>
      <c r="M9" s="319"/>
      <c r="N9" s="319"/>
      <c r="O9" s="319"/>
      <c r="P9" s="319"/>
      <c r="Q9" s="319"/>
      <c r="R9" s="319"/>
      <c r="S9" s="319"/>
      <c r="T9" s="319"/>
      <c r="U9" s="319"/>
      <c r="V9" s="319"/>
      <c r="W9" s="319"/>
      <c r="X9" s="319"/>
      <c r="Y9" s="319"/>
      <c r="Z9" s="319"/>
      <c r="AA9" s="319"/>
      <c r="AB9" s="319"/>
      <c r="AC9" s="319"/>
      <c r="AD9" s="319"/>
      <c r="AE9" s="319"/>
      <c r="AF9" s="319"/>
      <c r="AG9" s="319"/>
      <c r="AH9" s="319"/>
      <c r="AI9" s="319"/>
      <c r="AJ9" s="319"/>
      <c r="AK9" s="319"/>
      <c r="AL9" s="319"/>
      <c r="AM9" s="319"/>
      <c r="AN9" s="319"/>
      <c r="AO9" s="319"/>
      <c r="AP9" s="319"/>
      <c r="AQ9" s="319"/>
      <c r="AR9" s="319"/>
      <c r="AS9" s="319"/>
      <c r="AT9" s="316"/>
      <c r="AU9" s="316"/>
      <c r="AV9" s="316"/>
      <c r="AW9" s="316"/>
      <c r="AX9" s="316"/>
      <c r="AY9" s="316"/>
      <c r="AZ9" s="316"/>
      <c r="BA9" s="316"/>
      <c r="BB9" s="316"/>
      <c r="BC9" s="316"/>
      <c r="BD9" s="316"/>
      <c r="BE9" s="316"/>
      <c r="BF9" s="315"/>
      <c r="BG9" s="315"/>
      <c r="BH9" s="315"/>
      <c r="BI9" s="315"/>
      <c r="BJ9" s="315"/>
      <c r="BK9" s="315"/>
      <c r="BL9" s="315"/>
      <c r="BM9" s="315"/>
      <c r="BN9" s="315"/>
      <c r="BO9" s="315"/>
      <c r="BP9" s="315"/>
    </row>
    <row r="10" spans="1:70">
      <c r="A10" s="313"/>
      <c r="B10" s="327"/>
      <c r="C10" s="319"/>
      <c r="D10" s="319"/>
      <c r="E10" s="319"/>
      <c r="F10" s="319"/>
      <c r="G10" s="319"/>
      <c r="H10" s="319"/>
      <c r="I10" s="319"/>
      <c r="J10" s="319"/>
      <c r="K10" s="319"/>
      <c r="L10" s="319"/>
      <c r="M10" s="319"/>
      <c r="N10" s="319"/>
      <c r="O10" s="319"/>
      <c r="P10" s="319"/>
      <c r="Q10" s="319"/>
      <c r="R10" s="319"/>
      <c r="S10" s="319"/>
      <c r="T10" s="319"/>
      <c r="U10" s="319"/>
      <c r="V10" s="319"/>
      <c r="W10" s="319"/>
      <c r="X10" s="319"/>
      <c r="Y10" s="319"/>
      <c r="Z10" s="319"/>
      <c r="AA10" s="319"/>
      <c r="AB10" s="319"/>
      <c r="AC10" s="319"/>
      <c r="AD10" s="319"/>
      <c r="AE10" s="319"/>
      <c r="AF10" s="319"/>
      <c r="AG10" s="319"/>
      <c r="AH10" s="319"/>
      <c r="AI10" s="319"/>
      <c r="AJ10" s="319"/>
      <c r="AK10" s="319"/>
      <c r="AL10" s="319"/>
      <c r="AM10" s="319"/>
      <c r="AN10" s="319"/>
      <c r="AO10" s="319"/>
      <c r="AP10" s="319"/>
      <c r="AQ10" s="319"/>
      <c r="AR10" s="319"/>
      <c r="AS10" s="319"/>
      <c r="AT10" s="316"/>
      <c r="AU10" s="316"/>
      <c r="AV10" s="316"/>
      <c r="AW10" s="316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  <c r="BJ10" s="315"/>
      <c r="BK10" s="315"/>
      <c r="BL10" s="315"/>
      <c r="BM10" s="315"/>
      <c r="BN10" s="315"/>
      <c r="BO10" s="315"/>
      <c r="BP10" s="315"/>
    </row>
    <row r="11" spans="1:70">
      <c r="A11" s="317"/>
      <c r="B11" s="321"/>
      <c r="C11" s="319"/>
      <c r="D11" s="319"/>
      <c r="E11" s="319"/>
      <c r="F11" s="319"/>
      <c r="G11" s="319"/>
      <c r="H11" s="319"/>
      <c r="I11" s="319"/>
      <c r="J11" s="319"/>
      <c r="K11" s="319"/>
      <c r="L11" s="319"/>
      <c r="M11" s="319"/>
      <c r="N11" s="319"/>
      <c r="O11" s="319"/>
      <c r="P11" s="319"/>
      <c r="Q11" s="319"/>
      <c r="R11" s="319"/>
      <c r="S11" s="319"/>
      <c r="T11" s="319"/>
      <c r="U11" s="319"/>
      <c r="V11" s="319"/>
      <c r="W11" s="319"/>
      <c r="X11" s="319"/>
      <c r="Y11" s="319"/>
      <c r="Z11" s="319"/>
      <c r="AA11" s="319"/>
      <c r="AB11" s="319"/>
      <c r="AC11" s="319"/>
      <c r="AD11" s="319"/>
      <c r="AE11" s="319"/>
      <c r="AF11" s="319"/>
      <c r="AG11" s="319"/>
      <c r="AH11" s="319"/>
      <c r="AI11" s="319"/>
      <c r="AJ11" s="319"/>
      <c r="AK11" s="319"/>
      <c r="AL11" s="319"/>
      <c r="AM11" s="319"/>
      <c r="AN11" s="319"/>
      <c r="AO11" s="319"/>
      <c r="AP11" s="319"/>
      <c r="AQ11" s="319"/>
      <c r="AR11" s="319"/>
      <c r="AS11" s="319"/>
      <c r="AT11" s="316"/>
      <c r="AU11" s="316"/>
      <c r="AV11" s="316"/>
      <c r="AW11" s="316"/>
      <c r="AX11" s="316"/>
      <c r="AY11" s="316"/>
      <c r="AZ11" s="316"/>
      <c r="BA11" s="316"/>
      <c r="BB11" s="316"/>
      <c r="BC11" s="316"/>
      <c r="BD11" s="316"/>
      <c r="BE11" s="316"/>
      <c r="BF11" s="315"/>
      <c r="BG11" s="315"/>
      <c r="BH11" s="315"/>
      <c r="BI11" s="315"/>
      <c r="BJ11" s="315"/>
      <c r="BK11" s="315"/>
      <c r="BL11" s="315"/>
      <c r="BM11" s="315"/>
      <c r="BN11" s="315"/>
      <c r="BO11" s="315"/>
      <c r="BP11" s="315"/>
    </row>
    <row r="12" spans="1:70">
      <c r="A12" s="317"/>
      <c r="B12" s="321"/>
      <c r="C12" s="319"/>
      <c r="D12" s="319"/>
      <c r="E12" s="319"/>
      <c r="F12" s="319"/>
      <c r="G12" s="319"/>
      <c r="H12" s="319"/>
      <c r="I12" s="319"/>
      <c r="J12" s="319"/>
      <c r="K12" s="319"/>
      <c r="L12" s="319"/>
      <c r="M12" s="319"/>
      <c r="N12" s="319"/>
      <c r="O12" s="319"/>
      <c r="P12" s="319"/>
      <c r="Q12" s="319"/>
      <c r="R12" s="319"/>
      <c r="S12" s="319"/>
      <c r="T12" s="319"/>
      <c r="U12" s="319"/>
      <c r="V12" s="319"/>
      <c r="W12" s="319"/>
      <c r="X12" s="319"/>
      <c r="Y12" s="319"/>
      <c r="Z12" s="319"/>
      <c r="AA12" s="319"/>
      <c r="AB12" s="319"/>
      <c r="AC12" s="319"/>
      <c r="AD12" s="319"/>
      <c r="AE12" s="319"/>
      <c r="AF12" s="319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  <c r="AS12" s="319"/>
      <c r="AT12" s="316"/>
      <c r="AU12" s="316"/>
      <c r="AV12" s="316"/>
      <c r="AW12" s="316"/>
      <c r="AX12" s="316"/>
      <c r="AY12" s="316"/>
      <c r="AZ12" s="316"/>
      <c r="BA12" s="316"/>
      <c r="BB12" s="316"/>
      <c r="BC12" s="316"/>
      <c r="BD12" s="316"/>
      <c r="BE12" s="316"/>
      <c r="BF12" s="315"/>
      <c r="BG12" s="315"/>
      <c r="BH12" s="315"/>
      <c r="BI12" s="315"/>
      <c r="BJ12" s="315"/>
      <c r="BK12" s="315"/>
      <c r="BL12" s="315"/>
      <c r="BM12" s="315"/>
      <c r="BN12" s="315"/>
      <c r="BO12" s="315"/>
      <c r="BP12" s="315"/>
    </row>
    <row r="13" spans="1:70">
      <c r="A13" s="317"/>
      <c r="B13" s="328" t="s">
        <v>458</v>
      </c>
      <c r="C13" s="319"/>
      <c r="D13" s="319"/>
      <c r="E13" s="319"/>
      <c r="F13" s="319"/>
      <c r="G13" s="319"/>
      <c r="H13" s="319"/>
      <c r="I13" s="319"/>
      <c r="J13" s="319"/>
      <c r="K13" s="319"/>
      <c r="L13" s="319"/>
      <c r="M13" s="319"/>
      <c r="N13" s="319"/>
      <c r="O13" s="319"/>
      <c r="P13" s="319"/>
      <c r="Q13" s="319"/>
      <c r="R13" s="319"/>
      <c r="S13" s="319"/>
      <c r="T13" s="319"/>
      <c r="U13" s="319"/>
      <c r="V13" s="319"/>
      <c r="W13" s="319"/>
      <c r="X13" s="319"/>
      <c r="Y13" s="319"/>
      <c r="Z13" s="319"/>
      <c r="AA13" s="319"/>
      <c r="AB13" s="319"/>
      <c r="AC13" s="319"/>
      <c r="AD13" s="319"/>
      <c r="AE13" s="319"/>
      <c r="AF13" s="319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  <c r="AS13" s="319"/>
      <c r="AT13" s="316"/>
      <c r="AU13" s="316"/>
      <c r="AV13" s="316"/>
      <c r="AW13" s="316"/>
      <c r="AX13" s="316"/>
      <c r="AY13" s="316"/>
      <c r="AZ13" s="316"/>
      <c r="BA13" s="316"/>
      <c r="BB13" s="316"/>
      <c r="BC13" s="316"/>
      <c r="BD13" s="316"/>
      <c r="BE13" s="316"/>
      <c r="BF13" s="315"/>
      <c r="BG13" s="315"/>
      <c r="BH13" s="315"/>
      <c r="BI13" s="315"/>
      <c r="BJ13" s="315"/>
      <c r="BK13" s="315"/>
      <c r="BL13" s="315"/>
      <c r="BM13" s="315"/>
      <c r="BN13" s="315"/>
      <c r="BO13" s="315"/>
      <c r="BP13" s="315"/>
    </row>
    <row r="14" spans="1:70" s="324" customFormat="1">
      <c r="A14" s="322"/>
      <c r="B14" s="323"/>
      <c r="C14" s="319"/>
      <c r="D14" s="319"/>
      <c r="E14" s="319"/>
      <c r="F14" s="319"/>
      <c r="G14" s="319"/>
      <c r="H14" s="319"/>
      <c r="I14" s="319"/>
      <c r="J14" s="319"/>
      <c r="K14" s="319"/>
      <c r="L14" s="319"/>
      <c r="M14" s="319"/>
      <c r="N14" s="319"/>
      <c r="O14" s="319"/>
      <c r="P14" s="319"/>
      <c r="Q14" s="319"/>
      <c r="R14" s="319"/>
      <c r="S14" s="319"/>
      <c r="T14" s="319"/>
      <c r="U14" s="319"/>
      <c r="V14" s="319"/>
      <c r="W14" s="319"/>
      <c r="X14" s="319"/>
      <c r="Y14" s="319"/>
      <c r="Z14" s="319"/>
      <c r="AA14" s="319"/>
      <c r="AB14" s="319"/>
      <c r="AC14" s="319"/>
      <c r="AD14" s="319"/>
      <c r="AE14" s="319"/>
      <c r="AF14" s="319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  <c r="AS14" s="319"/>
      <c r="AT14" s="319"/>
      <c r="AU14" s="319"/>
      <c r="AV14" s="319"/>
      <c r="AW14" s="319"/>
      <c r="AX14" s="323"/>
      <c r="AY14" s="323"/>
      <c r="AZ14" s="323"/>
      <c r="BA14" s="323"/>
      <c r="BB14" s="323"/>
      <c r="BC14" s="323"/>
      <c r="BD14" s="323"/>
      <c r="BE14" s="323"/>
      <c r="BF14" s="323"/>
      <c r="BG14" s="323"/>
      <c r="BH14" s="323"/>
      <c r="BI14" s="323"/>
      <c r="BJ14" s="323"/>
      <c r="BK14" s="323"/>
      <c r="BL14" s="323"/>
      <c r="BM14" s="323"/>
      <c r="BN14" s="323"/>
      <c r="BO14" s="323"/>
      <c r="BP14" s="323"/>
    </row>
    <row r="15" spans="1:70" s="324" customFormat="1">
      <c r="A15" s="322"/>
      <c r="B15" s="323"/>
      <c r="C15" s="329" t="s">
        <v>5</v>
      </c>
      <c r="D15" s="404" t="s">
        <v>253</v>
      </c>
      <c r="E15" s="405"/>
      <c r="F15" s="405"/>
      <c r="G15" s="405"/>
      <c r="H15" s="405"/>
      <c r="I15" s="405"/>
      <c r="J15" s="405"/>
      <c r="K15" s="405"/>
      <c r="L15" s="405"/>
      <c r="M15" s="405"/>
      <c r="N15" s="406"/>
      <c r="O15" s="330" t="s">
        <v>438</v>
      </c>
      <c r="P15" s="404" t="s">
        <v>439</v>
      </c>
      <c r="Q15" s="405"/>
      <c r="R15" s="405"/>
      <c r="S15" s="405"/>
      <c r="T15" s="405"/>
      <c r="U15" s="405"/>
      <c r="V15" s="406"/>
      <c r="W15" s="404" t="s">
        <v>440</v>
      </c>
      <c r="X15" s="405"/>
      <c r="Y15" s="406"/>
      <c r="Z15" s="404" t="s">
        <v>101</v>
      </c>
      <c r="AA15" s="405"/>
      <c r="AB15" s="405"/>
      <c r="AC15" s="405"/>
      <c r="AD15" s="405"/>
      <c r="AE15" s="405"/>
      <c r="AF15" s="405"/>
      <c r="AG15" s="405"/>
      <c r="AH15" s="405"/>
      <c r="AI15" s="405"/>
      <c r="AJ15" s="406"/>
      <c r="AK15" s="319"/>
      <c r="AL15" s="319"/>
      <c r="AM15" s="319"/>
      <c r="AN15" s="319"/>
      <c r="AO15" s="319"/>
      <c r="AP15" s="319"/>
      <c r="AQ15" s="319"/>
      <c r="AR15" s="319"/>
      <c r="AS15" s="323"/>
      <c r="AT15" s="323"/>
      <c r="AU15" s="323"/>
      <c r="AV15" s="323"/>
      <c r="AW15" s="323"/>
      <c r="AX15" s="323"/>
      <c r="AY15" s="323"/>
      <c r="AZ15" s="323"/>
      <c r="BA15" s="323"/>
      <c r="BB15" s="323"/>
      <c r="BC15" s="323"/>
      <c r="BD15" s="323"/>
      <c r="BE15" s="323"/>
      <c r="BF15" s="323"/>
      <c r="BG15" s="323"/>
      <c r="BH15" s="323"/>
      <c r="BI15" s="323"/>
      <c r="BJ15" s="323"/>
      <c r="BK15" s="323"/>
    </row>
    <row r="16" spans="1:70">
      <c r="A16" s="317"/>
      <c r="B16" s="321"/>
      <c r="C16" s="331">
        <v>1</v>
      </c>
      <c r="D16" s="332" t="s">
        <v>455</v>
      </c>
      <c r="E16" s="333"/>
      <c r="F16" s="333"/>
      <c r="G16" s="333"/>
      <c r="H16" s="333"/>
      <c r="I16" s="333"/>
      <c r="J16" s="333"/>
      <c r="K16" s="333"/>
      <c r="L16" s="333"/>
      <c r="M16" s="333"/>
      <c r="N16" s="333"/>
      <c r="O16" s="334" t="s">
        <v>441</v>
      </c>
      <c r="P16" s="395" t="s">
        <v>66</v>
      </c>
      <c r="Q16" s="396"/>
      <c r="R16" s="396"/>
      <c r="S16" s="396"/>
      <c r="T16" s="396"/>
      <c r="U16" s="396"/>
      <c r="V16" s="397"/>
      <c r="W16" s="398" t="s">
        <v>442</v>
      </c>
      <c r="X16" s="399"/>
      <c r="Y16" s="400"/>
      <c r="Z16" s="401" t="s">
        <v>443</v>
      </c>
      <c r="AA16" s="402"/>
      <c r="AB16" s="402"/>
      <c r="AC16" s="402"/>
      <c r="AD16" s="402"/>
      <c r="AE16" s="402"/>
      <c r="AF16" s="402"/>
      <c r="AG16" s="402"/>
      <c r="AH16" s="402"/>
      <c r="AI16" s="402"/>
      <c r="AJ16" s="403"/>
      <c r="AK16" s="319"/>
      <c r="AL16" s="319"/>
      <c r="AM16" s="319"/>
      <c r="AN16" s="319"/>
      <c r="AO16" s="316"/>
      <c r="AP16" s="316"/>
      <c r="AQ16" s="316"/>
      <c r="AR16" s="316"/>
      <c r="AS16" s="316"/>
      <c r="AT16" s="316"/>
      <c r="AU16" s="316"/>
      <c r="AV16" s="316"/>
      <c r="AW16" s="316"/>
      <c r="AX16" s="316"/>
      <c r="AY16" s="316"/>
      <c r="AZ16" s="316"/>
      <c r="BA16" s="315"/>
      <c r="BB16" s="315"/>
      <c r="BC16" s="315"/>
      <c r="BD16" s="315"/>
      <c r="BE16" s="315"/>
      <c r="BF16" s="315"/>
      <c r="BG16" s="315"/>
      <c r="BH16" s="315"/>
      <c r="BI16" s="315"/>
      <c r="BJ16" s="315"/>
      <c r="BK16" s="315"/>
    </row>
    <row r="17" spans="1:68">
      <c r="A17" s="317"/>
      <c r="B17" s="321"/>
      <c r="C17" s="331">
        <v>4</v>
      </c>
      <c r="D17" s="416"/>
      <c r="E17" s="335" t="s">
        <v>444</v>
      </c>
      <c r="F17" s="336"/>
      <c r="G17" s="336"/>
      <c r="H17" s="336"/>
      <c r="I17" s="336"/>
      <c r="J17" s="336"/>
      <c r="K17" s="336"/>
      <c r="L17" s="336"/>
      <c r="M17" s="336"/>
      <c r="N17" s="336"/>
      <c r="O17" s="334" t="s">
        <v>441</v>
      </c>
      <c r="P17" s="395" t="s">
        <v>445</v>
      </c>
      <c r="Q17" s="396"/>
      <c r="R17" s="396"/>
      <c r="S17" s="396"/>
      <c r="T17" s="396"/>
      <c r="U17" s="396"/>
      <c r="V17" s="397"/>
      <c r="W17" s="398" t="s">
        <v>442</v>
      </c>
      <c r="X17" s="399"/>
      <c r="Y17" s="400"/>
      <c r="Z17" s="401" t="s">
        <v>443</v>
      </c>
      <c r="AA17" s="402"/>
      <c r="AB17" s="402"/>
      <c r="AC17" s="402"/>
      <c r="AD17" s="402"/>
      <c r="AE17" s="402"/>
      <c r="AF17" s="402"/>
      <c r="AG17" s="402"/>
      <c r="AH17" s="402"/>
      <c r="AI17" s="402"/>
      <c r="AJ17" s="403"/>
      <c r="AK17" s="319"/>
      <c r="AL17" s="319"/>
      <c r="AM17" s="319"/>
      <c r="AN17" s="319"/>
      <c r="AO17" s="316"/>
      <c r="AP17" s="316"/>
      <c r="AQ17" s="316"/>
      <c r="AR17" s="316"/>
      <c r="AS17" s="316"/>
      <c r="AT17" s="316"/>
      <c r="AU17" s="316"/>
      <c r="AV17" s="316"/>
      <c r="AW17" s="316"/>
      <c r="AX17" s="316"/>
      <c r="AY17" s="316"/>
      <c r="AZ17" s="316"/>
      <c r="BA17" s="315"/>
      <c r="BB17" s="315"/>
      <c r="BC17" s="315"/>
      <c r="BD17" s="315"/>
      <c r="BE17" s="315"/>
      <c r="BF17" s="315"/>
      <c r="BG17" s="315"/>
      <c r="BH17" s="315"/>
      <c r="BI17" s="315"/>
      <c r="BJ17" s="315"/>
      <c r="BK17" s="315"/>
    </row>
    <row r="18" spans="1:68">
      <c r="A18" s="317"/>
      <c r="B18" s="321"/>
      <c r="C18" s="331">
        <v>5</v>
      </c>
      <c r="D18" s="417"/>
      <c r="E18" s="335" t="s">
        <v>446</v>
      </c>
      <c r="F18" s="336"/>
      <c r="G18" s="336"/>
      <c r="H18" s="336"/>
      <c r="I18" s="336"/>
      <c r="J18" s="336"/>
      <c r="K18" s="336"/>
      <c r="L18" s="336"/>
      <c r="M18" s="336"/>
      <c r="N18" s="336"/>
      <c r="O18" s="334" t="s">
        <v>441</v>
      </c>
      <c r="P18" s="395" t="s">
        <v>447</v>
      </c>
      <c r="Q18" s="396"/>
      <c r="R18" s="396"/>
      <c r="S18" s="396"/>
      <c r="T18" s="396"/>
      <c r="U18" s="396"/>
      <c r="V18" s="397"/>
      <c r="W18" s="398" t="s">
        <v>442</v>
      </c>
      <c r="X18" s="399"/>
      <c r="Y18" s="400"/>
      <c r="Z18" s="401" t="s">
        <v>443</v>
      </c>
      <c r="AA18" s="402"/>
      <c r="AB18" s="402"/>
      <c r="AC18" s="402"/>
      <c r="AD18" s="402"/>
      <c r="AE18" s="402"/>
      <c r="AF18" s="402"/>
      <c r="AG18" s="402"/>
      <c r="AH18" s="402"/>
      <c r="AI18" s="402"/>
      <c r="AJ18" s="403"/>
      <c r="AK18" s="319"/>
      <c r="AL18" s="319"/>
      <c r="AM18" s="319"/>
      <c r="AN18" s="319"/>
      <c r="AO18" s="316"/>
      <c r="AP18" s="316"/>
      <c r="AQ18" s="316"/>
      <c r="AR18" s="316"/>
      <c r="AS18" s="316"/>
      <c r="AT18" s="316"/>
      <c r="AU18" s="316"/>
      <c r="AV18" s="316"/>
      <c r="AW18" s="316"/>
      <c r="AX18" s="316"/>
      <c r="AY18" s="316"/>
      <c r="AZ18" s="316"/>
      <c r="BA18" s="315"/>
      <c r="BB18" s="315"/>
      <c r="BC18" s="315"/>
      <c r="BD18" s="315"/>
      <c r="BE18" s="315"/>
      <c r="BF18" s="315"/>
      <c r="BG18" s="315"/>
      <c r="BH18" s="315"/>
      <c r="BI18" s="315"/>
      <c r="BJ18" s="315"/>
      <c r="BK18" s="315"/>
    </row>
    <row r="19" spans="1:68" ht="11.25" customHeight="1">
      <c r="A19" s="317"/>
      <c r="B19" s="321"/>
      <c r="C19" s="331">
        <v>6</v>
      </c>
      <c r="D19" s="417"/>
      <c r="E19" s="419" t="s">
        <v>448</v>
      </c>
      <c r="F19" s="420"/>
      <c r="G19" s="420"/>
      <c r="H19" s="420"/>
      <c r="I19" s="420"/>
      <c r="J19" s="420"/>
      <c r="K19" s="420"/>
      <c r="L19" s="420"/>
      <c r="M19" s="420"/>
      <c r="N19" s="421"/>
      <c r="O19" s="334" t="s">
        <v>441</v>
      </c>
      <c r="P19" s="395" t="s">
        <v>445</v>
      </c>
      <c r="Q19" s="396"/>
      <c r="R19" s="396"/>
      <c r="S19" s="396"/>
      <c r="T19" s="396"/>
      <c r="U19" s="396"/>
      <c r="V19" s="397"/>
      <c r="W19" s="398" t="s">
        <v>442</v>
      </c>
      <c r="X19" s="399"/>
      <c r="Y19" s="400"/>
      <c r="Z19" s="401" t="s">
        <v>443</v>
      </c>
      <c r="AA19" s="402"/>
      <c r="AB19" s="402"/>
      <c r="AC19" s="402"/>
      <c r="AD19" s="402"/>
      <c r="AE19" s="402"/>
      <c r="AF19" s="402"/>
      <c r="AG19" s="402"/>
      <c r="AH19" s="402"/>
      <c r="AI19" s="402"/>
      <c r="AJ19" s="403"/>
      <c r="AK19" s="319"/>
      <c r="AL19" s="319"/>
      <c r="AM19" s="319"/>
      <c r="AN19" s="319"/>
      <c r="AO19" s="316"/>
      <c r="AP19" s="316"/>
      <c r="AQ19" s="316"/>
      <c r="AR19" s="316"/>
      <c r="AS19" s="316"/>
      <c r="AT19" s="316"/>
      <c r="AU19" s="316"/>
      <c r="AV19" s="316"/>
      <c r="AW19" s="316"/>
      <c r="AX19" s="316"/>
      <c r="AY19" s="316"/>
      <c r="AZ19" s="316"/>
      <c r="BA19" s="315"/>
      <c r="BB19" s="315"/>
      <c r="BC19" s="315"/>
      <c r="BD19" s="315"/>
      <c r="BE19" s="315"/>
      <c r="BF19" s="315"/>
      <c r="BG19" s="315"/>
      <c r="BH19" s="315"/>
      <c r="BI19" s="315"/>
      <c r="BJ19" s="315"/>
      <c r="BK19" s="315"/>
    </row>
    <row r="20" spans="1:68" ht="11.25" customHeight="1">
      <c r="A20" s="317"/>
      <c r="B20" s="321"/>
      <c r="C20" s="331">
        <v>7</v>
      </c>
      <c r="D20" s="418"/>
      <c r="E20" s="407" t="s">
        <v>449</v>
      </c>
      <c r="F20" s="408"/>
      <c r="G20" s="408"/>
      <c r="H20" s="408"/>
      <c r="I20" s="408"/>
      <c r="J20" s="408"/>
      <c r="K20" s="408"/>
      <c r="L20" s="408"/>
      <c r="M20" s="408"/>
      <c r="N20" s="409"/>
      <c r="O20" s="334" t="s">
        <v>441</v>
      </c>
      <c r="P20" s="395" t="s">
        <v>445</v>
      </c>
      <c r="Q20" s="396"/>
      <c r="R20" s="396"/>
      <c r="S20" s="396"/>
      <c r="T20" s="396"/>
      <c r="U20" s="396"/>
      <c r="V20" s="397"/>
      <c r="W20" s="398" t="s">
        <v>442</v>
      </c>
      <c r="X20" s="399"/>
      <c r="Y20" s="400"/>
      <c r="Z20" s="401" t="s">
        <v>443</v>
      </c>
      <c r="AA20" s="402"/>
      <c r="AB20" s="402"/>
      <c r="AC20" s="402"/>
      <c r="AD20" s="402"/>
      <c r="AE20" s="402"/>
      <c r="AF20" s="402"/>
      <c r="AG20" s="402"/>
      <c r="AH20" s="402"/>
      <c r="AI20" s="402"/>
      <c r="AJ20" s="403"/>
      <c r="AK20" s="319"/>
      <c r="AL20" s="319"/>
      <c r="AM20" s="319"/>
      <c r="AN20" s="319"/>
      <c r="AO20" s="316"/>
      <c r="AP20" s="316"/>
      <c r="AQ20" s="316"/>
      <c r="AR20" s="316"/>
      <c r="AS20" s="316"/>
      <c r="AT20" s="316"/>
      <c r="AU20" s="316"/>
      <c r="AV20" s="316"/>
      <c r="AW20" s="316"/>
      <c r="AX20" s="316"/>
      <c r="AY20" s="316"/>
      <c r="AZ20" s="316"/>
      <c r="BA20" s="315"/>
      <c r="BB20" s="315"/>
      <c r="BC20" s="315"/>
      <c r="BD20" s="315"/>
      <c r="BE20" s="315"/>
      <c r="BF20" s="315"/>
      <c r="BG20" s="315"/>
      <c r="BH20" s="315"/>
      <c r="BI20" s="315"/>
      <c r="BJ20" s="315"/>
      <c r="BK20" s="315"/>
    </row>
    <row r="21" spans="1:68" s="324" customFormat="1">
      <c r="A21" s="322"/>
      <c r="B21" s="323"/>
      <c r="C21" s="337">
        <v>10</v>
      </c>
      <c r="D21" s="338" t="s">
        <v>456</v>
      </c>
      <c r="E21" s="339"/>
      <c r="F21" s="340"/>
      <c r="G21" s="340"/>
      <c r="H21" s="340"/>
      <c r="I21" s="340"/>
      <c r="J21" s="340"/>
      <c r="K21" s="340"/>
      <c r="L21" s="340"/>
      <c r="M21" s="340"/>
      <c r="N21" s="340"/>
      <c r="O21" s="341"/>
      <c r="P21" s="342"/>
      <c r="Q21" s="343"/>
      <c r="R21" s="343"/>
      <c r="S21" s="343"/>
      <c r="T21" s="343"/>
      <c r="U21" s="343"/>
      <c r="V21" s="344"/>
      <c r="W21" s="345"/>
      <c r="X21" s="346"/>
      <c r="Y21" s="347"/>
      <c r="Z21" s="348"/>
      <c r="AA21" s="349"/>
      <c r="AB21" s="349"/>
      <c r="AC21" s="349"/>
      <c r="AD21" s="349"/>
      <c r="AE21" s="349"/>
      <c r="AF21" s="349"/>
      <c r="AG21" s="349"/>
      <c r="AH21" s="349"/>
      <c r="AI21" s="349"/>
      <c r="AJ21" s="350"/>
      <c r="AK21" s="319"/>
      <c r="AL21" s="319"/>
      <c r="AM21" s="319"/>
      <c r="AN21" s="319"/>
      <c r="AO21" s="319"/>
      <c r="AP21" s="319"/>
      <c r="AQ21" s="319"/>
      <c r="AR21" s="319"/>
      <c r="AS21" s="323"/>
      <c r="AT21" s="323"/>
      <c r="AU21" s="323"/>
      <c r="AV21" s="323"/>
      <c r="AW21" s="323"/>
      <c r="AX21" s="323"/>
      <c r="AY21" s="323"/>
      <c r="AZ21" s="323"/>
      <c r="BA21" s="323"/>
      <c r="BB21" s="323"/>
      <c r="BC21" s="323"/>
      <c r="BD21" s="323"/>
      <c r="BE21" s="323"/>
      <c r="BF21" s="323"/>
      <c r="BG21" s="323"/>
      <c r="BH21" s="323"/>
      <c r="BI21" s="323"/>
      <c r="BJ21" s="323"/>
      <c r="BK21" s="323"/>
    </row>
    <row r="22" spans="1:68">
      <c r="A22" s="317"/>
      <c r="B22" s="321"/>
      <c r="C22" s="351">
        <v>11</v>
      </c>
      <c r="D22" s="410"/>
      <c r="E22" s="352" t="s">
        <v>450</v>
      </c>
      <c r="F22" s="353"/>
      <c r="G22" s="353"/>
      <c r="H22" s="353"/>
      <c r="I22" s="353"/>
      <c r="J22" s="353"/>
      <c r="K22" s="353"/>
      <c r="L22" s="353"/>
      <c r="M22" s="353"/>
      <c r="N22" s="353"/>
      <c r="O22" s="354" t="s">
        <v>441</v>
      </c>
      <c r="P22" s="355" t="s">
        <v>196</v>
      </c>
      <c r="Q22" s="356"/>
      <c r="R22" s="356"/>
      <c r="S22" s="356"/>
      <c r="T22" s="356"/>
      <c r="U22" s="356"/>
      <c r="V22" s="357"/>
      <c r="W22" s="413">
        <v>3</v>
      </c>
      <c r="X22" s="414"/>
      <c r="Y22" s="415"/>
      <c r="Z22" s="358"/>
      <c r="AA22" s="359"/>
      <c r="AB22" s="359"/>
      <c r="AC22" s="359"/>
      <c r="AD22" s="359"/>
      <c r="AE22" s="359"/>
      <c r="AF22" s="359"/>
      <c r="AG22" s="359"/>
      <c r="AH22" s="359"/>
      <c r="AI22" s="359"/>
      <c r="AJ22" s="360"/>
      <c r="AK22" s="319"/>
      <c r="AL22" s="319"/>
      <c r="AM22" s="319"/>
      <c r="AN22" s="319"/>
      <c r="AO22" s="316"/>
      <c r="AP22" s="316"/>
      <c r="AQ22" s="316"/>
      <c r="AR22" s="316"/>
      <c r="AS22" s="316"/>
      <c r="AT22" s="316"/>
      <c r="AU22" s="316"/>
      <c r="AV22" s="316"/>
      <c r="AW22" s="316"/>
      <c r="AX22" s="316"/>
      <c r="AY22" s="316"/>
      <c r="AZ22" s="315"/>
      <c r="BA22" s="315"/>
      <c r="BB22" s="315"/>
      <c r="BC22" s="315"/>
      <c r="BD22" s="315"/>
      <c r="BE22" s="315"/>
      <c r="BF22" s="315"/>
      <c r="BG22" s="315"/>
      <c r="BH22" s="315"/>
      <c r="BI22" s="315"/>
      <c r="BJ22" s="315"/>
      <c r="BK22" s="315"/>
    </row>
    <row r="23" spans="1:68">
      <c r="A23" s="317"/>
      <c r="B23" s="321"/>
      <c r="C23" s="351">
        <v>12</v>
      </c>
      <c r="D23" s="411"/>
      <c r="E23" s="352" t="s">
        <v>446</v>
      </c>
      <c r="F23" s="353"/>
      <c r="G23" s="353"/>
      <c r="H23" s="353"/>
      <c r="I23" s="353"/>
      <c r="J23" s="353"/>
      <c r="K23" s="353"/>
      <c r="L23" s="353"/>
      <c r="M23" s="353"/>
      <c r="N23" s="353"/>
      <c r="O23" s="354" t="s">
        <v>441</v>
      </c>
      <c r="P23" s="355" t="s">
        <v>451</v>
      </c>
      <c r="Q23" s="356"/>
      <c r="R23" s="356"/>
      <c r="S23" s="356"/>
      <c r="T23" s="356"/>
      <c r="U23" s="356"/>
      <c r="V23" s="357"/>
      <c r="W23" s="413">
        <v>6</v>
      </c>
      <c r="X23" s="414"/>
      <c r="Y23" s="415"/>
      <c r="Z23" s="358"/>
      <c r="AA23" s="359"/>
      <c r="AB23" s="359"/>
      <c r="AC23" s="359"/>
      <c r="AD23" s="359"/>
      <c r="AE23" s="359"/>
      <c r="AF23" s="359"/>
      <c r="AG23" s="359"/>
      <c r="AH23" s="359"/>
      <c r="AI23" s="359"/>
      <c r="AJ23" s="360"/>
      <c r="AK23" s="319"/>
      <c r="AL23" s="319"/>
      <c r="AM23" s="319"/>
      <c r="AN23" s="319"/>
      <c r="AO23" s="316"/>
      <c r="AP23" s="316"/>
      <c r="AQ23" s="316"/>
      <c r="AR23" s="315"/>
      <c r="AS23" s="315"/>
      <c r="AT23" s="315"/>
      <c r="AU23" s="315"/>
      <c r="AV23" s="315"/>
      <c r="AW23" s="315"/>
      <c r="AX23" s="315"/>
      <c r="AY23" s="315"/>
      <c r="AZ23" s="316"/>
      <c r="BA23" s="316"/>
      <c r="BB23" s="316"/>
      <c r="BC23" s="316"/>
      <c r="BD23" s="316"/>
      <c r="BE23" s="316"/>
      <c r="BF23" s="316"/>
      <c r="BG23" s="316"/>
      <c r="BH23" s="315"/>
      <c r="BI23" s="315"/>
      <c r="BJ23" s="315"/>
      <c r="BK23" s="315"/>
      <c r="BL23" s="315"/>
      <c r="BM23" s="315"/>
    </row>
    <row r="24" spans="1:68">
      <c r="A24" s="317"/>
      <c r="B24" s="321"/>
      <c r="C24" s="351">
        <v>13</v>
      </c>
      <c r="D24" s="411"/>
      <c r="E24" s="352" t="s">
        <v>452</v>
      </c>
      <c r="F24" s="353"/>
      <c r="G24" s="353"/>
      <c r="H24" s="353"/>
      <c r="I24" s="353"/>
      <c r="J24" s="353"/>
      <c r="K24" s="353"/>
      <c r="L24" s="353"/>
      <c r="M24" s="353"/>
      <c r="N24" s="353"/>
      <c r="O24" s="354" t="s">
        <v>55</v>
      </c>
      <c r="P24" s="355" t="s">
        <v>453</v>
      </c>
      <c r="Q24" s="356"/>
      <c r="R24" s="356"/>
      <c r="S24" s="356"/>
      <c r="T24" s="356"/>
      <c r="U24" s="356"/>
      <c r="V24" s="357"/>
      <c r="W24" s="413" t="s">
        <v>55</v>
      </c>
      <c r="X24" s="414"/>
      <c r="Y24" s="415"/>
      <c r="Z24" s="358"/>
      <c r="AA24" s="359"/>
      <c r="AB24" s="359"/>
      <c r="AC24" s="359"/>
      <c r="AD24" s="359"/>
      <c r="AE24" s="359"/>
      <c r="AF24" s="359"/>
      <c r="AG24" s="359"/>
      <c r="AH24" s="359"/>
      <c r="AI24" s="359"/>
      <c r="AJ24" s="360"/>
      <c r="AK24" s="319"/>
      <c r="AL24" s="319"/>
      <c r="AM24" s="319"/>
      <c r="AN24" s="319"/>
      <c r="AO24" s="316"/>
      <c r="AP24" s="316"/>
      <c r="AQ24" s="316"/>
      <c r="AR24" s="316"/>
      <c r="AS24" s="316"/>
      <c r="AT24" s="316"/>
      <c r="AU24" s="316"/>
      <c r="AV24" s="316"/>
      <c r="AW24" s="316"/>
      <c r="AX24" s="316"/>
      <c r="AY24" s="316"/>
      <c r="AZ24" s="315"/>
      <c r="BA24" s="315"/>
      <c r="BB24" s="315"/>
      <c r="BC24" s="315"/>
      <c r="BD24" s="315"/>
      <c r="BE24" s="315"/>
      <c r="BF24" s="315"/>
      <c r="BG24" s="315"/>
      <c r="BH24" s="315"/>
      <c r="BI24" s="315"/>
      <c r="BJ24" s="315"/>
      <c r="BK24" s="315"/>
      <c r="BL24" s="315"/>
      <c r="BM24" s="315"/>
    </row>
    <row r="25" spans="1:68">
      <c r="A25" s="313"/>
      <c r="B25" s="316"/>
      <c r="C25" s="351">
        <v>14</v>
      </c>
      <c r="D25" s="412"/>
      <c r="E25" s="361" t="s">
        <v>454</v>
      </c>
      <c r="F25" s="362"/>
      <c r="G25" s="362"/>
      <c r="H25" s="362"/>
      <c r="I25" s="362"/>
      <c r="J25" s="362"/>
      <c r="K25" s="362"/>
      <c r="L25" s="362"/>
      <c r="M25" s="362"/>
      <c r="N25" s="362"/>
      <c r="O25" s="354" t="s">
        <v>441</v>
      </c>
      <c r="P25" s="355" t="s">
        <v>451</v>
      </c>
      <c r="Q25" s="356"/>
      <c r="R25" s="356"/>
      <c r="S25" s="356"/>
      <c r="T25" s="356"/>
      <c r="U25" s="356"/>
      <c r="V25" s="357"/>
      <c r="W25" s="413">
        <v>1</v>
      </c>
      <c r="X25" s="414"/>
      <c r="Y25" s="415"/>
      <c r="Z25" s="363"/>
      <c r="AA25" s="364"/>
      <c r="AB25" s="364"/>
      <c r="AC25" s="364"/>
      <c r="AD25" s="364"/>
      <c r="AE25" s="364"/>
      <c r="AF25" s="364"/>
      <c r="AG25" s="364"/>
      <c r="AH25" s="364"/>
      <c r="AI25" s="364"/>
      <c r="AJ25" s="365"/>
      <c r="AK25" s="319"/>
      <c r="AL25" s="319"/>
      <c r="AM25" s="319"/>
      <c r="AN25" s="319"/>
      <c r="AO25" s="316"/>
      <c r="AP25" s="316"/>
      <c r="AQ25" s="316"/>
      <c r="AR25" s="316"/>
      <c r="AS25" s="316"/>
      <c r="AT25" s="316"/>
      <c r="AU25" s="316"/>
      <c r="AV25" s="316"/>
      <c r="AW25" s="316"/>
      <c r="AX25" s="316"/>
      <c r="AY25" s="316"/>
      <c r="AZ25" s="316"/>
      <c r="BA25" s="316"/>
      <c r="BB25" s="316"/>
      <c r="BC25" s="316"/>
      <c r="BD25" s="316"/>
      <c r="BE25" s="316"/>
      <c r="BF25" s="316"/>
      <c r="BG25" s="316"/>
      <c r="BH25" s="315"/>
      <c r="BI25" s="315"/>
      <c r="BJ25" s="315"/>
      <c r="BK25" s="315"/>
      <c r="BL25" s="315"/>
      <c r="BM25" s="315"/>
    </row>
    <row r="26" spans="1:68">
      <c r="A26" s="317"/>
      <c r="B26" s="321"/>
      <c r="C26" s="319"/>
      <c r="D26" s="319"/>
      <c r="E26" s="319"/>
      <c r="F26" s="319"/>
      <c r="G26" s="319"/>
      <c r="H26" s="319"/>
      <c r="I26" s="319"/>
      <c r="J26" s="319"/>
      <c r="K26" s="319"/>
      <c r="L26" s="319"/>
      <c r="M26" s="319"/>
      <c r="N26" s="319"/>
      <c r="O26" s="319"/>
      <c r="P26" s="319"/>
      <c r="Q26" s="319"/>
      <c r="R26" s="319"/>
      <c r="S26" s="319"/>
      <c r="T26" s="319"/>
      <c r="U26" s="319"/>
      <c r="V26" s="319"/>
      <c r="W26" s="319"/>
      <c r="X26" s="319"/>
      <c r="Y26" s="319"/>
      <c r="Z26" s="319"/>
      <c r="AA26" s="319"/>
      <c r="AB26" s="319"/>
      <c r="AC26" s="319"/>
      <c r="AD26" s="319"/>
      <c r="AE26" s="319"/>
      <c r="AF26" s="319"/>
      <c r="AG26" s="319"/>
      <c r="AH26" s="319"/>
      <c r="AI26" s="319"/>
      <c r="AJ26" s="319"/>
      <c r="AK26" s="319"/>
      <c r="AL26" s="319"/>
      <c r="AM26" s="319"/>
      <c r="AN26" s="319"/>
      <c r="AO26" s="319"/>
      <c r="AP26" s="319"/>
      <c r="AQ26" s="319"/>
      <c r="AR26" s="319"/>
      <c r="AS26" s="319"/>
      <c r="AT26" s="316"/>
      <c r="AU26" s="316"/>
      <c r="AV26" s="316"/>
      <c r="AW26" s="316"/>
      <c r="AX26" s="316"/>
      <c r="AY26" s="316"/>
      <c r="AZ26" s="316"/>
      <c r="BA26" s="316"/>
      <c r="BB26" s="316"/>
      <c r="BC26" s="316"/>
      <c r="BD26" s="316"/>
      <c r="BE26" s="316"/>
      <c r="BF26" s="315"/>
      <c r="BG26" s="315"/>
      <c r="BH26" s="315"/>
      <c r="BI26" s="315"/>
      <c r="BJ26" s="315"/>
      <c r="BK26" s="315"/>
      <c r="BL26" s="315"/>
      <c r="BM26" s="315"/>
      <c r="BN26" s="315"/>
      <c r="BO26" s="315"/>
      <c r="BP26" s="315"/>
    </row>
    <row r="27" spans="1:68">
      <c r="A27" s="313"/>
      <c r="B27" s="327"/>
      <c r="C27" s="319"/>
      <c r="D27" s="319"/>
      <c r="E27" s="319"/>
      <c r="F27" s="319"/>
      <c r="G27" s="319"/>
      <c r="H27" s="319"/>
      <c r="I27" s="319"/>
      <c r="J27" s="319"/>
      <c r="K27" s="319"/>
      <c r="L27" s="319"/>
      <c r="M27" s="319"/>
      <c r="N27" s="319"/>
      <c r="O27" s="319"/>
      <c r="P27" s="319"/>
      <c r="Q27" s="319"/>
      <c r="R27" s="319"/>
      <c r="S27" s="319"/>
      <c r="T27" s="319"/>
      <c r="U27" s="319"/>
      <c r="V27" s="319"/>
      <c r="W27" s="319"/>
      <c r="X27" s="319"/>
      <c r="Y27" s="319"/>
      <c r="Z27" s="319"/>
      <c r="AA27" s="319"/>
      <c r="AB27" s="319"/>
      <c r="AC27" s="319"/>
      <c r="AD27" s="319"/>
      <c r="AE27" s="319"/>
      <c r="AF27" s="319"/>
      <c r="AG27" s="319"/>
      <c r="AH27" s="319"/>
      <c r="AI27" s="319"/>
      <c r="AJ27" s="319"/>
      <c r="AK27" s="319"/>
      <c r="AL27" s="319"/>
      <c r="AM27" s="319"/>
      <c r="AN27" s="319"/>
      <c r="AO27" s="319"/>
      <c r="AP27" s="319"/>
      <c r="AQ27" s="319"/>
      <c r="AR27" s="319"/>
      <c r="AS27" s="319"/>
      <c r="AT27" s="316"/>
      <c r="AU27" s="316"/>
      <c r="AV27" s="316"/>
      <c r="AW27" s="316"/>
      <c r="AX27" s="315"/>
      <c r="AY27" s="315"/>
      <c r="AZ27" s="315"/>
      <c r="BA27" s="315"/>
      <c r="BB27" s="315"/>
      <c r="BC27" s="315"/>
      <c r="BD27" s="315"/>
      <c r="BE27" s="315"/>
      <c r="BF27" s="315"/>
      <c r="BG27" s="315"/>
      <c r="BH27" s="315"/>
      <c r="BI27" s="315"/>
      <c r="BJ27" s="315"/>
      <c r="BK27" s="315"/>
      <c r="BL27" s="315"/>
      <c r="BM27" s="315"/>
      <c r="BN27" s="315"/>
      <c r="BO27" s="315"/>
      <c r="BP27" s="315"/>
    </row>
    <row r="28" spans="1:68">
      <c r="A28" s="317"/>
      <c r="B28" s="321"/>
      <c r="C28" s="319"/>
      <c r="D28" s="319"/>
      <c r="E28" s="319"/>
      <c r="F28" s="319"/>
      <c r="G28" s="319"/>
      <c r="H28" s="319"/>
      <c r="I28" s="319"/>
      <c r="J28" s="319"/>
      <c r="K28" s="319"/>
      <c r="L28" s="319"/>
      <c r="M28" s="319"/>
      <c r="N28" s="319"/>
      <c r="O28" s="319"/>
      <c r="P28" s="319"/>
      <c r="Q28" s="319"/>
      <c r="R28" s="319"/>
      <c r="S28" s="319"/>
      <c r="T28" s="319"/>
      <c r="U28" s="319"/>
      <c r="V28" s="319"/>
      <c r="W28" s="319"/>
      <c r="X28" s="319"/>
      <c r="Y28" s="319"/>
      <c r="Z28" s="319"/>
      <c r="AA28" s="319"/>
      <c r="AB28" s="319"/>
      <c r="AC28" s="319"/>
      <c r="AD28" s="319"/>
      <c r="AE28" s="319"/>
      <c r="AF28" s="319"/>
      <c r="AG28" s="319"/>
      <c r="AH28" s="319"/>
      <c r="AI28" s="319"/>
      <c r="AJ28" s="319"/>
      <c r="AK28" s="319"/>
      <c r="AL28" s="319"/>
      <c r="AM28" s="319"/>
      <c r="AN28" s="319"/>
      <c r="AO28" s="319"/>
      <c r="AP28" s="319"/>
      <c r="AQ28" s="319"/>
      <c r="AR28" s="319"/>
      <c r="AS28" s="319"/>
      <c r="AT28" s="316"/>
      <c r="AU28" s="316"/>
      <c r="AV28" s="316"/>
      <c r="AW28" s="316"/>
      <c r="AX28" s="316"/>
      <c r="AY28" s="316"/>
      <c r="AZ28" s="316"/>
      <c r="BA28" s="316"/>
      <c r="BB28" s="316"/>
      <c r="BC28" s="316"/>
      <c r="BD28" s="316"/>
      <c r="BE28" s="316"/>
      <c r="BF28" s="315"/>
      <c r="BG28" s="315"/>
      <c r="BH28" s="315"/>
      <c r="BI28" s="315"/>
      <c r="BJ28" s="315"/>
      <c r="BK28" s="315"/>
      <c r="BL28" s="315"/>
      <c r="BM28" s="315"/>
      <c r="BN28" s="315"/>
      <c r="BO28" s="315"/>
      <c r="BP28" s="315"/>
    </row>
    <row r="29" spans="1:68">
      <c r="A29" s="317"/>
      <c r="B29" s="321"/>
      <c r="C29" s="319"/>
      <c r="D29" s="319"/>
      <c r="E29" s="319"/>
      <c r="F29" s="319"/>
      <c r="G29" s="319"/>
      <c r="H29" s="319"/>
      <c r="I29" s="319"/>
      <c r="J29" s="319"/>
      <c r="K29" s="319"/>
      <c r="L29" s="319"/>
      <c r="M29" s="319"/>
      <c r="N29" s="319"/>
      <c r="O29" s="319"/>
      <c r="P29" s="319"/>
      <c r="Q29" s="319"/>
      <c r="R29" s="319"/>
      <c r="S29" s="319"/>
      <c r="T29" s="319"/>
      <c r="U29" s="319"/>
      <c r="V29" s="319"/>
      <c r="W29" s="319"/>
      <c r="X29" s="319"/>
      <c r="Y29" s="319"/>
      <c r="Z29" s="319"/>
      <c r="AA29" s="319"/>
      <c r="AB29" s="319"/>
      <c r="AC29" s="319"/>
      <c r="AD29" s="319"/>
      <c r="AE29" s="319"/>
      <c r="AF29" s="319"/>
      <c r="AG29" s="319"/>
      <c r="AH29" s="319"/>
      <c r="AI29" s="319"/>
      <c r="AJ29" s="319"/>
      <c r="AK29" s="319"/>
      <c r="AL29" s="319"/>
      <c r="AM29" s="319"/>
      <c r="AN29" s="319"/>
      <c r="AO29" s="319"/>
      <c r="AP29" s="319"/>
      <c r="AQ29" s="319"/>
      <c r="AR29" s="319"/>
      <c r="AS29" s="319"/>
      <c r="AT29" s="316"/>
      <c r="AU29" s="316"/>
      <c r="AV29" s="316"/>
      <c r="AW29" s="316"/>
      <c r="AX29" s="316"/>
      <c r="AY29" s="316"/>
      <c r="AZ29" s="316"/>
      <c r="BA29" s="316"/>
      <c r="BB29" s="316"/>
      <c r="BC29" s="316"/>
      <c r="BD29" s="316"/>
      <c r="BE29" s="316"/>
      <c r="BF29" s="315"/>
      <c r="BG29" s="315"/>
      <c r="BH29" s="315"/>
      <c r="BI29" s="315"/>
      <c r="BJ29" s="315"/>
      <c r="BK29" s="315"/>
      <c r="BL29" s="315"/>
      <c r="BM29" s="315"/>
      <c r="BN29" s="315"/>
      <c r="BO29" s="315"/>
      <c r="BP29" s="315"/>
    </row>
    <row r="30" spans="1:68">
      <c r="A30" s="317"/>
      <c r="B30" s="321"/>
      <c r="C30" s="319"/>
      <c r="D30" s="319"/>
      <c r="E30" s="319"/>
      <c r="F30" s="319"/>
      <c r="G30" s="319"/>
      <c r="H30" s="319"/>
      <c r="I30" s="319"/>
      <c r="J30" s="319"/>
      <c r="K30" s="319"/>
      <c r="L30" s="319"/>
      <c r="M30" s="319"/>
      <c r="N30" s="319"/>
      <c r="O30" s="319"/>
      <c r="P30" s="319"/>
      <c r="Q30" s="319"/>
      <c r="R30" s="319"/>
      <c r="S30" s="319"/>
      <c r="T30" s="319"/>
      <c r="U30" s="319"/>
      <c r="V30" s="319"/>
      <c r="W30" s="319"/>
      <c r="X30" s="319"/>
      <c r="Y30" s="319"/>
      <c r="Z30" s="319"/>
      <c r="AA30" s="319"/>
      <c r="AB30" s="319"/>
      <c r="AC30" s="319"/>
      <c r="AD30" s="319"/>
      <c r="AE30" s="319"/>
      <c r="AF30" s="319"/>
      <c r="AG30" s="319"/>
      <c r="AH30" s="319"/>
      <c r="AI30" s="319"/>
      <c r="AJ30" s="319"/>
      <c r="AK30" s="319"/>
      <c r="AL30" s="319"/>
      <c r="AM30" s="319"/>
      <c r="AN30" s="319"/>
      <c r="AO30" s="319"/>
      <c r="AP30" s="319"/>
      <c r="AQ30" s="319"/>
      <c r="AR30" s="319"/>
      <c r="AS30" s="319"/>
      <c r="AT30" s="316"/>
      <c r="AU30" s="316"/>
      <c r="AV30" s="316"/>
      <c r="AW30" s="316"/>
      <c r="AX30" s="316"/>
      <c r="AY30" s="316"/>
      <c r="AZ30" s="316"/>
      <c r="BA30" s="316"/>
      <c r="BB30" s="316"/>
      <c r="BC30" s="316"/>
      <c r="BD30" s="316"/>
      <c r="BE30" s="316"/>
      <c r="BF30" s="315"/>
      <c r="BG30" s="315"/>
      <c r="BH30" s="315"/>
      <c r="BI30" s="315"/>
      <c r="BJ30" s="315"/>
      <c r="BK30" s="315"/>
      <c r="BL30" s="315"/>
      <c r="BM30" s="315"/>
      <c r="BN30" s="315"/>
      <c r="BO30" s="315"/>
      <c r="BP30" s="315"/>
    </row>
    <row r="31" spans="1:68" s="324" customFormat="1">
      <c r="A31" s="322"/>
      <c r="B31" s="323"/>
      <c r="C31" s="319"/>
      <c r="D31" s="319"/>
      <c r="E31" s="319"/>
      <c r="F31" s="319"/>
      <c r="G31" s="319"/>
      <c r="H31" s="319"/>
      <c r="I31" s="319"/>
      <c r="J31" s="319"/>
      <c r="K31" s="319"/>
      <c r="L31" s="319"/>
      <c r="M31" s="319"/>
      <c r="N31" s="319"/>
      <c r="O31" s="319"/>
      <c r="P31" s="319"/>
      <c r="Q31" s="319"/>
      <c r="R31" s="319"/>
      <c r="S31" s="319"/>
      <c r="T31" s="319"/>
      <c r="U31" s="319"/>
      <c r="V31" s="319"/>
      <c r="W31" s="319"/>
      <c r="X31" s="319"/>
      <c r="Y31" s="319"/>
      <c r="Z31" s="319"/>
      <c r="AA31" s="319"/>
      <c r="AB31" s="319"/>
      <c r="AC31" s="319"/>
      <c r="AD31" s="319"/>
      <c r="AE31" s="319"/>
      <c r="AF31" s="319"/>
      <c r="AG31" s="319"/>
      <c r="AH31" s="319"/>
      <c r="AI31" s="319"/>
      <c r="AJ31" s="319"/>
      <c r="AK31" s="319"/>
      <c r="AL31" s="319"/>
      <c r="AM31" s="319"/>
      <c r="AN31" s="319"/>
      <c r="AO31" s="319"/>
      <c r="AP31" s="319"/>
      <c r="AQ31" s="319"/>
      <c r="AR31" s="319"/>
      <c r="AS31" s="319"/>
      <c r="AT31" s="319"/>
      <c r="AU31" s="319"/>
      <c r="AV31" s="319"/>
      <c r="AW31" s="319"/>
      <c r="AX31" s="323"/>
      <c r="AY31" s="323"/>
      <c r="AZ31" s="323"/>
      <c r="BA31" s="323"/>
      <c r="BB31" s="323"/>
      <c r="BC31" s="323"/>
      <c r="BD31" s="323"/>
      <c r="BE31" s="323"/>
      <c r="BF31" s="323"/>
      <c r="BG31" s="323"/>
      <c r="BH31" s="323"/>
      <c r="BI31" s="323"/>
      <c r="BJ31" s="323"/>
      <c r="BK31" s="323"/>
      <c r="BL31" s="323"/>
      <c r="BM31" s="323"/>
      <c r="BN31" s="323"/>
      <c r="BO31" s="323"/>
      <c r="BP31" s="323"/>
    </row>
    <row r="32" spans="1:68" s="324" customFormat="1">
      <c r="A32" s="322"/>
      <c r="B32" s="323"/>
      <c r="C32" s="319"/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319"/>
      <c r="AB32" s="319"/>
      <c r="AC32" s="319"/>
      <c r="AD32" s="319"/>
      <c r="AE32" s="319"/>
      <c r="AF32" s="319"/>
      <c r="AG32" s="319"/>
      <c r="AH32" s="319"/>
      <c r="AI32" s="319"/>
      <c r="AJ32" s="319"/>
      <c r="AK32" s="319"/>
      <c r="AL32" s="319"/>
      <c r="AM32" s="319"/>
      <c r="AN32" s="319"/>
      <c r="AO32" s="319"/>
      <c r="AP32" s="319"/>
      <c r="AQ32" s="319"/>
      <c r="AR32" s="319"/>
      <c r="AS32" s="319"/>
      <c r="AT32" s="319"/>
      <c r="AU32" s="319"/>
      <c r="AV32" s="319"/>
      <c r="AW32" s="319"/>
      <c r="AX32" s="323"/>
      <c r="AY32" s="323"/>
      <c r="AZ32" s="323"/>
      <c r="BA32" s="323"/>
      <c r="BB32" s="323"/>
      <c r="BC32" s="323"/>
      <c r="BD32" s="323"/>
      <c r="BE32" s="323"/>
      <c r="BF32" s="323"/>
      <c r="BG32" s="323"/>
      <c r="BH32" s="323"/>
      <c r="BI32" s="323"/>
      <c r="BJ32" s="323"/>
      <c r="BK32" s="323"/>
      <c r="BL32" s="323"/>
      <c r="BM32" s="323"/>
      <c r="BN32" s="323"/>
      <c r="BO32" s="323"/>
      <c r="BP32" s="323"/>
    </row>
    <row r="33" spans="1:68">
      <c r="A33" s="317"/>
      <c r="B33" s="321"/>
      <c r="C33" s="319"/>
      <c r="D33" s="319"/>
      <c r="E33" s="319"/>
      <c r="F33" s="319"/>
      <c r="G33" s="319"/>
      <c r="H33" s="319"/>
      <c r="I33" s="319"/>
      <c r="J33" s="319"/>
      <c r="K33" s="319"/>
      <c r="L33" s="319"/>
      <c r="M33" s="319"/>
      <c r="N33" s="319"/>
      <c r="O33" s="319"/>
      <c r="P33" s="319"/>
      <c r="Q33" s="319"/>
      <c r="R33" s="319"/>
      <c r="S33" s="319"/>
      <c r="T33" s="319"/>
      <c r="U33" s="319"/>
      <c r="V33" s="319"/>
      <c r="W33" s="319"/>
      <c r="X33" s="319"/>
      <c r="Y33" s="319"/>
      <c r="Z33" s="319"/>
      <c r="AA33" s="319"/>
      <c r="AB33" s="319"/>
      <c r="AC33" s="319"/>
      <c r="AD33" s="319"/>
      <c r="AE33" s="319"/>
      <c r="AF33" s="319"/>
      <c r="AG33" s="319"/>
      <c r="AH33" s="319"/>
      <c r="AI33" s="319"/>
      <c r="AJ33" s="319"/>
      <c r="AK33" s="319"/>
      <c r="AL33" s="319"/>
      <c r="AM33" s="319"/>
      <c r="AN33" s="319"/>
      <c r="AO33" s="319"/>
      <c r="AP33" s="319"/>
      <c r="AQ33" s="319"/>
      <c r="AR33" s="319"/>
      <c r="AS33" s="319"/>
      <c r="AT33" s="316"/>
      <c r="AU33" s="316"/>
      <c r="AV33" s="316"/>
      <c r="AW33" s="316"/>
      <c r="AX33" s="316"/>
      <c r="AY33" s="316"/>
      <c r="AZ33" s="316"/>
      <c r="BA33" s="316"/>
      <c r="BB33" s="316"/>
      <c r="BC33" s="316"/>
      <c r="BD33" s="316"/>
      <c r="BE33" s="316"/>
      <c r="BF33" s="315"/>
      <c r="BG33" s="315"/>
      <c r="BH33" s="315"/>
      <c r="BI33" s="315"/>
      <c r="BJ33" s="315"/>
      <c r="BK33" s="315"/>
      <c r="BL33" s="315"/>
      <c r="BM33" s="315"/>
      <c r="BN33" s="315"/>
      <c r="BO33" s="315"/>
      <c r="BP33" s="315"/>
    </row>
    <row r="34" spans="1:68">
      <c r="A34" s="317"/>
      <c r="B34" s="321"/>
      <c r="C34" s="319"/>
      <c r="D34" s="319"/>
      <c r="E34" s="319"/>
      <c r="F34" s="319"/>
      <c r="G34" s="319"/>
      <c r="H34" s="319"/>
      <c r="I34" s="319"/>
      <c r="J34" s="319"/>
      <c r="K34" s="319"/>
      <c r="L34" s="319"/>
      <c r="M34" s="319"/>
      <c r="N34" s="319"/>
      <c r="O34" s="319"/>
      <c r="P34" s="319"/>
      <c r="Q34" s="319"/>
      <c r="R34" s="319"/>
      <c r="S34" s="319"/>
      <c r="T34" s="319"/>
      <c r="U34" s="319"/>
      <c r="V34" s="319"/>
      <c r="W34" s="319"/>
      <c r="X34" s="319"/>
      <c r="Y34" s="319"/>
      <c r="Z34" s="319"/>
      <c r="AA34" s="319"/>
      <c r="AB34" s="319"/>
      <c r="AC34" s="319"/>
      <c r="AD34" s="319"/>
      <c r="AE34" s="319"/>
      <c r="AF34" s="319"/>
      <c r="AG34" s="319"/>
      <c r="AH34" s="319"/>
      <c r="AI34" s="319"/>
      <c r="AJ34" s="319"/>
      <c r="AK34" s="319"/>
      <c r="AL34" s="319"/>
      <c r="AM34" s="319"/>
      <c r="AN34" s="319"/>
      <c r="AO34" s="319"/>
      <c r="AP34" s="319"/>
      <c r="AQ34" s="319"/>
      <c r="AR34" s="319"/>
      <c r="AS34" s="319"/>
      <c r="AT34" s="316"/>
      <c r="AU34" s="316"/>
      <c r="AV34" s="316"/>
      <c r="AW34" s="316"/>
      <c r="AX34" s="316"/>
      <c r="AY34" s="316"/>
      <c r="AZ34" s="316"/>
      <c r="BA34" s="316"/>
      <c r="BB34" s="316"/>
      <c r="BC34" s="316"/>
      <c r="BD34" s="316"/>
      <c r="BE34" s="316"/>
      <c r="BF34" s="315"/>
      <c r="BG34" s="315"/>
      <c r="BH34" s="315"/>
      <c r="BI34" s="315"/>
      <c r="BJ34" s="315"/>
      <c r="BK34" s="315"/>
      <c r="BL34" s="315"/>
      <c r="BM34" s="315"/>
      <c r="BN34" s="315"/>
      <c r="BO34" s="315"/>
      <c r="BP34" s="315"/>
    </row>
    <row r="35" spans="1:68">
      <c r="A35" s="317"/>
      <c r="B35" s="321"/>
      <c r="C35" s="319"/>
      <c r="D35" s="319"/>
      <c r="E35" s="319"/>
      <c r="F35" s="319"/>
      <c r="G35" s="319"/>
      <c r="H35" s="319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Y35" s="319"/>
      <c r="Z35" s="319"/>
      <c r="AA35" s="319"/>
      <c r="AB35" s="319"/>
      <c r="AC35" s="319"/>
      <c r="AD35" s="319"/>
      <c r="AE35" s="319"/>
      <c r="AF35" s="319"/>
      <c r="AG35" s="319"/>
      <c r="AH35" s="319"/>
      <c r="AI35" s="319"/>
      <c r="AJ35" s="319"/>
      <c r="AK35" s="319"/>
      <c r="AL35" s="319"/>
      <c r="AM35" s="319"/>
      <c r="AN35" s="319"/>
      <c r="AO35" s="319"/>
      <c r="AP35" s="319"/>
      <c r="AQ35" s="319"/>
      <c r="AR35" s="319"/>
      <c r="AS35" s="319"/>
      <c r="AT35" s="316"/>
      <c r="AU35" s="316"/>
      <c r="AV35" s="316"/>
      <c r="AW35" s="316"/>
      <c r="AX35" s="316"/>
      <c r="AY35" s="316"/>
      <c r="AZ35" s="316"/>
      <c r="BA35" s="316"/>
      <c r="BB35" s="316"/>
      <c r="BC35" s="316"/>
      <c r="BD35" s="316"/>
      <c r="BE35" s="316"/>
      <c r="BF35" s="315"/>
      <c r="BG35" s="315"/>
      <c r="BH35" s="315"/>
      <c r="BI35" s="315"/>
      <c r="BJ35" s="315"/>
      <c r="BK35" s="315"/>
      <c r="BL35" s="315"/>
      <c r="BM35" s="315"/>
      <c r="BN35" s="315"/>
      <c r="BO35" s="315"/>
      <c r="BP35" s="315"/>
    </row>
    <row r="36" spans="1:68">
      <c r="A36" s="317"/>
      <c r="B36" s="321"/>
      <c r="C36" s="319"/>
      <c r="D36" s="319"/>
      <c r="E36" s="319"/>
      <c r="F36" s="319"/>
      <c r="G36" s="319"/>
      <c r="H36" s="319"/>
      <c r="I36" s="319"/>
      <c r="J36" s="319"/>
      <c r="K36" s="319"/>
      <c r="L36" s="319"/>
      <c r="M36" s="319"/>
      <c r="N36" s="319"/>
      <c r="O36" s="319"/>
      <c r="P36" s="319"/>
      <c r="Q36" s="319"/>
      <c r="R36" s="319"/>
      <c r="S36" s="319"/>
      <c r="T36" s="319"/>
      <c r="U36" s="319"/>
      <c r="V36" s="319"/>
      <c r="W36" s="319"/>
      <c r="X36" s="319"/>
      <c r="Y36" s="319"/>
      <c r="Z36" s="319"/>
      <c r="AA36" s="319"/>
      <c r="AB36" s="319"/>
      <c r="AC36" s="319"/>
      <c r="AD36" s="319"/>
      <c r="AE36" s="319"/>
      <c r="AF36" s="319"/>
      <c r="AG36" s="319"/>
      <c r="AH36" s="319"/>
      <c r="AI36" s="319"/>
      <c r="AJ36" s="319"/>
      <c r="AK36" s="319"/>
      <c r="AL36" s="319"/>
      <c r="AM36" s="319"/>
      <c r="AN36" s="319"/>
      <c r="AO36" s="319"/>
      <c r="AP36" s="319"/>
      <c r="AQ36" s="319"/>
      <c r="AR36" s="319"/>
      <c r="AS36" s="319"/>
      <c r="AT36" s="316"/>
      <c r="AU36" s="316"/>
      <c r="AV36" s="316"/>
      <c r="AW36" s="316"/>
      <c r="AX36" s="316"/>
      <c r="AY36" s="316"/>
      <c r="AZ36" s="316"/>
      <c r="BA36" s="316"/>
      <c r="BB36" s="316"/>
      <c r="BC36" s="316"/>
      <c r="BD36" s="316"/>
      <c r="BE36" s="316"/>
      <c r="BF36" s="315"/>
      <c r="BG36" s="315"/>
      <c r="BH36" s="315"/>
      <c r="BI36" s="315"/>
      <c r="BJ36" s="315"/>
      <c r="BK36" s="315"/>
      <c r="BL36" s="315"/>
      <c r="BM36" s="315"/>
      <c r="BN36" s="315"/>
      <c r="BO36" s="315"/>
      <c r="BP36" s="315"/>
    </row>
    <row r="37" spans="1:68">
      <c r="A37" s="317"/>
      <c r="B37" s="321"/>
      <c r="C37" s="319"/>
      <c r="D37" s="319"/>
      <c r="E37" s="319"/>
      <c r="F37" s="319"/>
      <c r="G37" s="319"/>
      <c r="H37" s="319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Y37" s="319"/>
      <c r="Z37" s="319"/>
      <c r="AA37" s="319"/>
      <c r="AB37" s="319"/>
      <c r="AC37" s="319"/>
      <c r="AD37" s="319"/>
      <c r="AE37" s="319"/>
      <c r="AF37" s="319"/>
      <c r="AG37" s="319"/>
      <c r="AH37" s="319"/>
      <c r="AI37" s="319"/>
      <c r="AJ37" s="319"/>
      <c r="AK37" s="319"/>
      <c r="AL37" s="319"/>
      <c r="AM37" s="319"/>
      <c r="AN37" s="319"/>
      <c r="AO37" s="319"/>
      <c r="AP37" s="319"/>
      <c r="AQ37" s="319"/>
      <c r="AR37" s="319"/>
      <c r="AS37" s="319"/>
      <c r="AT37" s="316"/>
      <c r="AU37" s="316"/>
      <c r="AV37" s="316"/>
      <c r="AW37" s="316"/>
      <c r="AX37" s="316"/>
      <c r="AY37" s="316"/>
      <c r="AZ37" s="316"/>
      <c r="BA37" s="316"/>
      <c r="BB37" s="316"/>
      <c r="BC37" s="316"/>
      <c r="BD37" s="316"/>
      <c r="BE37" s="316"/>
      <c r="BF37" s="315"/>
      <c r="BG37" s="315"/>
      <c r="BH37" s="315"/>
      <c r="BI37" s="315"/>
      <c r="BJ37" s="315"/>
      <c r="BK37" s="315"/>
      <c r="BL37" s="315"/>
      <c r="BM37" s="315"/>
      <c r="BN37" s="315"/>
      <c r="BO37" s="315"/>
      <c r="BP37" s="315"/>
    </row>
    <row r="38" spans="1:68">
      <c r="A38" s="317"/>
      <c r="B38" s="321"/>
      <c r="C38" s="319"/>
      <c r="D38" s="319"/>
      <c r="E38" s="319"/>
      <c r="F38" s="319"/>
      <c r="G38" s="319"/>
      <c r="H38" s="319"/>
      <c r="I38" s="319"/>
      <c r="J38" s="319"/>
      <c r="K38" s="319"/>
      <c r="L38" s="319"/>
      <c r="M38" s="319"/>
      <c r="N38" s="319"/>
      <c r="O38" s="319"/>
      <c r="P38" s="319"/>
      <c r="Q38" s="319"/>
      <c r="R38" s="319"/>
      <c r="S38" s="319"/>
      <c r="T38" s="319"/>
      <c r="U38" s="319"/>
      <c r="V38" s="319"/>
      <c r="W38" s="319"/>
      <c r="X38" s="319"/>
      <c r="Y38" s="319"/>
      <c r="Z38" s="319"/>
      <c r="AA38" s="319"/>
      <c r="AB38" s="319"/>
      <c r="AC38" s="319"/>
      <c r="AD38" s="319"/>
      <c r="AE38" s="319"/>
      <c r="AF38" s="319"/>
      <c r="AG38" s="319"/>
      <c r="AH38" s="319"/>
      <c r="AI38" s="319"/>
      <c r="AJ38" s="319"/>
      <c r="AK38" s="319"/>
      <c r="AL38" s="319"/>
      <c r="AM38" s="319"/>
      <c r="AN38" s="319"/>
      <c r="AO38" s="319"/>
      <c r="AP38" s="319"/>
      <c r="AQ38" s="319"/>
      <c r="AR38" s="319"/>
      <c r="AS38" s="319"/>
      <c r="AT38" s="316"/>
      <c r="AU38" s="316"/>
      <c r="AV38" s="316"/>
      <c r="AW38" s="316"/>
      <c r="AX38" s="316"/>
      <c r="AY38" s="316"/>
      <c r="AZ38" s="316"/>
      <c r="BA38" s="316"/>
      <c r="BB38" s="316"/>
      <c r="BC38" s="316"/>
      <c r="BD38" s="316"/>
      <c r="BE38" s="316"/>
      <c r="BF38" s="315"/>
      <c r="BG38" s="315"/>
      <c r="BH38" s="315"/>
      <c r="BI38" s="315"/>
      <c r="BJ38" s="315"/>
      <c r="BK38" s="315"/>
      <c r="BL38" s="315"/>
      <c r="BM38" s="315"/>
      <c r="BN38" s="315"/>
      <c r="BO38" s="315"/>
      <c r="BP38" s="315"/>
    </row>
    <row r="39" spans="1:68">
      <c r="A39" s="317"/>
      <c r="B39" s="321"/>
      <c r="C39" s="319"/>
      <c r="D39" s="319"/>
      <c r="E39" s="319"/>
      <c r="F39" s="319"/>
      <c r="G39" s="319"/>
      <c r="H39" s="319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19"/>
      <c r="Z39" s="319"/>
      <c r="AA39" s="319"/>
      <c r="AB39" s="319"/>
      <c r="AC39" s="319"/>
      <c r="AD39" s="319"/>
      <c r="AE39" s="319"/>
      <c r="AF39" s="319"/>
      <c r="AG39" s="319"/>
      <c r="AH39" s="319"/>
      <c r="AI39" s="319"/>
      <c r="AJ39" s="319"/>
      <c r="AK39" s="319"/>
      <c r="AL39" s="319"/>
      <c r="AM39" s="319"/>
      <c r="AN39" s="319"/>
      <c r="AO39" s="319"/>
      <c r="AP39" s="319"/>
      <c r="AQ39" s="319"/>
      <c r="AR39" s="319"/>
      <c r="AS39" s="319"/>
      <c r="AT39" s="316"/>
      <c r="AU39" s="316"/>
      <c r="AV39" s="316"/>
      <c r="AW39" s="316"/>
      <c r="AX39" s="316"/>
      <c r="AY39" s="316"/>
      <c r="AZ39" s="316"/>
      <c r="BA39" s="316"/>
      <c r="BB39" s="316"/>
      <c r="BC39" s="316"/>
      <c r="BD39" s="316"/>
      <c r="BE39" s="316"/>
      <c r="BF39" s="315"/>
      <c r="BG39" s="315"/>
      <c r="BH39" s="315"/>
      <c r="BI39" s="315"/>
      <c r="BJ39" s="315"/>
      <c r="BK39" s="315"/>
      <c r="BL39" s="315"/>
      <c r="BM39" s="315"/>
      <c r="BN39" s="315"/>
      <c r="BO39" s="315"/>
      <c r="BP39" s="315"/>
    </row>
    <row r="40" spans="1:68">
      <c r="A40" s="317"/>
      <c r="B40" s="321"/>
      <c r="C40" s="319"/>
      <c r="D40" s="319"/>
      <c r="E40" s="319"/>
      <c r="F40" s="319"/>
      <c r="G40" s="319"/>
      <c r="H40" s="319"/>
      <c r="I40" s="319"/>
      <c r="J40" s="319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Y40" s="319"/>
      <c r="Z40" s="319"/>
      <c r="AA40" s="319"/>
      <c r="AB40" s="319"/>
      <c r="AC40" s="319"/>
      <c r="AD40" s="319"/>
      <c r="AE40" s="319"/>
      <c r="AF40" s="319"/>
      <c r="AG40" s="319"/>
      <c r="AH40" s="319"/>
      <c r="AI40" s="319"/>
      <c r="AJ40" s="319"/>
      <c r="AK40" s="319"/>
      <c r="AL40" s="319"/>
      <c r="AM40" s="319"/>
      <c r="AN40" s="319"/>
      <c r="AO40" s="319"/>
      <c r="AP40" s="319"/>
      <c r="AQ40" s="319"/>
      <c r="AR40" s="319"/>
      <c r="AS40" s="319"/>
      <c r="AT40" s="316"/>
      <c r="AU40" s="316"/>
      <c r="AV40" s="316"/>
      <c r="AW40" s="316"/>
      <c r="AX40" s="316"/>
      <c r="AY40" s="316"/>
      <c r="AZ40" s="316"/>
      <c r="BA40" s="316"/>
      <c r="BB40" s="316"/>
      <c r="BC40" s="316"/>
      <c r="BD40" s="316"/>
      <c r="BE40" s="316"/>
      <c r="BF40" s="315"/>
      <c r="BG40" s="315"/>
      <c r="BH40" s="315"/>
      <c r="BI40" s="315"/>
      <c r="BJ40" s="315"/>
      <c r="BK40" s="315"/>
      <c r="BL40" s="315"/>
      <c r="BM40" s="315"/>
      <c r="BN40" s="315"/>
      <c r="BO40" s="315"/>
      <c r="BP40" s="315"/>
    </row>
    <row r="41" spans="1:68">
      <c r="A41" s="317"/>
      <c r="B41" s="321"/>
      <c r="C41" s="319"/>
      <c r="D41" s="319"/>
      <c r="E41" s="319"/>
      <c r="F41" s="319"/>
      <c r="G41" s="319"/>
      <c r="H41" s="31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Y41" s="319"/>
      <c r="Z41" s="319"/>
      <c r="AA41" s="319"/>
      <c r="AB41" s="319"/>
      <c r="AC41" s="319"/>
      <c r="AD41" s="319"/>
      <c r="AE41" s="319"/>
      <c r="AF41" s="319"/>
      <c r="AG41" s="319"/>
      <c r="AH41" s="319"/>
      <c r="AI41" s="319"/>
      <c r="AJ41" s="319"/>
      <c r="AK41" s="319"/>
      <c r="AL41" s="319"/>
      <c r="AM41" s="319"/>
      <c r="AN41" s="319"/>
      <c r="AO41" s="319"/>
      <c r="AP41" s="319"/>
      <c r="AQ41" s="319"/>
      <c r="AR41" s="319"/>
      <c r="AS41" s="319"/>
      <c r="AT41" s="316"/>
      <c r="AU41" s="316"/>
      <c r="AV41" s="316"/>
      <c r="AW41" s="316"/>
      <c r="AX41" s="316"/>
      <c r="AY41" s="316"/>
      <c r="AZ41" s="316"/>
      <c r="BA41" s="316"/>
      <c r="BB41" s="316"/>
      <c r="BC41" s="316"/>
      <c r="BD41" s="316"/>
      <c r="BE41" s="316"/>
      <c r="BF41" s="315"/>
      <c r="BG41" s="315"/>
      <c r="BH41" s="315"/>
      <c r="BI41" s="315"/>
      <c r="BJ41" s="315"/>
      <c r="BK41" s="315"/>
      <c r="BL41" s="315"/>
      <c r="BM41" s="315"/>
      <c r="BN41" s="315"/>
      <c r="BO41" s="315"/>
      <c r="BP41" s="315"/>
    </row>
    <row r="42" spans="1:68">
      <c r="BJ42" s="315"/>
      <c r="BK42" s="315"/>
    </row>
    <row r="43" spans="1:68">
      <c r="BJ43" s="315"/>
      <c r="BK43" s="315"/>
    </row>
    <row r="44" spans="1:68">
      <c r="BJ44" s="315"/>
      <c r="BK44" s="315"/>
    </row>
  </sheetData>
  <mergeCells count="27">
    <mergeCell ref="E20:N20"/>
    <mergeCell ref="P20:V20"/>
    <mergeCell ref="W20:Y20"/>
    <mergeCell ref="Z20:AJ20"/>
    <mergeCell ref="D22:D25"/>
    <mergeCell ref="W22:Y22"/>
    <mergeCell ref="W23:Y23"/>
    <mergeCell ref="W24:Y24"/>
    <mergeCell ref="W25:Y25"/>
    <mergeCell ref="D17:D20"/>
    <mergeCell ref="P17:V17"/>
    <mergeCell ref="W17:Y17"/>
    <mergeCell ref="Z17:AJ17"/>
    <mergeCell ref="W18:Y18"/>
    <mergeCell ref="Z18:AJ18"/>
    <mergeCell ref="E19:N19"/>
    <mergeCell ref="P19:V19"/>
    <mergeCell ref="W19:Y19"/>
    <mergeCell ref="Z19:AJ19"/>
    <mergeCell ref="P18:V18"/>
    <mergeCell ref="D15:N15"/>
    <mergeCell ref="P15:V15"/>
    <mergeCell ref="W15:Y15"/>
    <mergeCell ref="Z15:AJ15"/>
    <mergeCell ref="P16:V16"/>
    <mergeCell ref="W16:Y16"/>
    <mergeCell ref="Z16:AJ16"/>
  </mergeCells>
  <pageMargins left="0.23622047244094491" right="0.23622047244094491" top="0.35433070866141736" bottom="0.35433070866141736" header="0.11811023622047245" footer="0.11811023622047245"/>
  <pageSetup paperSize="9" scale="81" fitToHeight="0" orientation="landscape" r:id="rId1"/>
  <headerFooter alignWithMargins="0">
    <oddFooter>&amp;P / &amp;N ページ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85B799E-9341-4032-9BA1-A203EAD71E39}">
          <x14:formula1>
            <xm:f>[画面定義書_SUB066_目論見書閲覧データ登録1]選択肢!#REF!</xm:f>
          </x14:formula1>
          <xm:sqref>P16:V21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E787-DCE8-4C00-B96F-12C79ED2B7CB}">
  <dimension ref="A2:CD12"/>
  <sheetViews>
    <sheetView showGridLines="0" view="pageBreakPreview" zoomScaleNormal="100" zoomScaleSheetLayoutView="100" workbookViewId="0">
      <selection activeCell="D10" sqref="D10"/>
    </sheetView>
  </sheetViews>
  <sheetFormatPr defaultColWidth="2.42578125" defaultRowHeight="15" customHeight="1"/>
  <cols>
    <col min="1" max="50" width="2.42578125" style="256"/>
    <col min="51" max="51" width="2.28515625" style="256" customWidth="1"/>
    <col min="52" max="55" width="2.42578125" style="256"/>
    <col min="56" max="56" width="2.42578125" style="256" customWidth="1"/>
    <col min="57" max="16384" width="2.42578125" style="256"/>
  </cols>
  <sheetData>
    <row r="2" spans="1:82" ht="15" customHeight="1">
      <c r="A2" s="250"/>
      <c r="B2" s="251" t="s">
        <v>252</v>
      </c>
      <c r="C2" s="252"/>
      <c r="D2" s="253" t="s">
        <v>253</v>
      </c>
      <c r="E2" s="254"/>
      <c r="F2" s="254"/>
      <c r="G2" s="254"/>
      <c r="H2" s="254"/>
      <c r="I2" s="255"/>
      <c r="J2" s="253" t="s">
        <v>254</v>
      </c>
      <c r="K2" s="254"/>
      <c r="L2" s="254"/>
      <c r="M2" s="254"/>
      <c r="N2" s="254"/>
      <c r="O2" s="254"/>
      <c r="P2" s="254"/>
      <c r="Q2" s="254"/>
      <c r="R2" s="255"/>
      <c r="S2" s="253" t="s">
        <v>255</v>
      </c>
      <c r="T2" s="254"/>
      <c r="U2" s="254"/>
      <c r="V2" s="254"/>
      <c r="W2" s="254"/>
      <c r="X2" s="254"/>
      <c r="Y2" s="254"/>
      <c r="Z2" s="254"/>
      <c r="AA2" s="254"/>
      <c r="AB2" s="254"/>
      <c r="AC2" s="255"/>
      <c r="AD2" s="253" t="s">
        <v>256</v>
      </c>
      <c r="AE2" s="254"/>
      <c r="AF2" s="254"/>
      <c r="AG2" s="254"/>
      <c r="AH2" s="254"/>
      <c r="AI2" s="254"/>
      <c r="AJ2" s="254"/>
      <c r="AK2" s="254"/>
      <c r="AL2" s="254"/>
      <c r="AM2" s="254"/>
      <c r="AN2" s="254"/>
      <c r="AO2" s="254"/>
      <c r="AP2" s="254"/>
      <c r="AQ2" s="254"/>
      <c r="AR2" s="254"/>
      <c r="AS2" s="254"/>
      <c r="AT2" s="254"/>
      <c r="AU2" s="254"/>
      <c r="AV2" s="254"/>
      <c r="AW2" s="254"/>
      <c r="AX2" s="254"/>
      <c r="AY2" s="255"/>
      <c r="AZ2" s="253" t="s">
        <v>257</v>
      </c>
      <c r="BA2" s="254"/>
      <c r="BB2" s="254"/>
      <c r="BC2" s="254"/>
      <c r="BD2" s="255"/>
      <c r="BE2" s="253" t="s">
        <v>258</v>
      </c>
      <c r="BF2" s="254"/>
      <c r="BG2" s="254"/>
      <c r="BH2" s="254"/>
      <c r="BI2" s="254"/>
      <c r="BJ2" s="254"/>
      <c r="BK2" s="254"/>
      <c r="BL2" s="255"/>
      <c r="BM2" s="253" t="s">
        <v>259</v>
      </c>
      <c r="BN2" s="254"/>
      <c r="BO2" s="254"/>
      <c r="BP2" s="254"/>
      <c r="BQ2" s="255"/>
      <c r="BR2" s="253" t="s">
        <v>260</v>
      </c>
      <c r="BS2" s="254"/>
      <c r="BT2" s="254"/>
      <c r="BU2" s="254"/>
      <c r="BV2" s="255"/>
      <c r="BW2" s="253" t="s">
        <v>261</v>
      </c>
      <c r="BX2" s="254"/>
      <c r="BY2" s="254"/>
      <c r="BZ2" s="254"/>
      <c r="CA2" s="254"/>
      <c r="CB2" s="254"/>
      <c r="CC2" s="254"/>
      <c r="CD2" s="255"/>
    </row>
    <row r="3" spans="1:82" ht="15" customHeight="1">
      <c r="A3" s="250"/>
      <c r="B3" s="422">
        <v>1</v>
      </c>
      <c r="C3" s="422"/>
      <c r="D3" s="257" t="s">
        <v>278</v>
      </c>
      <c r="E3" s="258"/>
      <c r="F3" s="258"/>
      <c r="G3" s="258"/>
      <c r="H3" s="258"/>
      <c r="I3" s="259"/>
      <c r="J3" s="290" t="s">
        <v>489</v>
      </c>
      <c r="K3" s="258"/>
      <c r="L3" s="258"/>
      <c r="M3" s="258"/>
      <c r="N3" s="258"/>
      <c r="O3" s="258"/>
      <c r="P3" s="258"/>
      <c r="Q3" s="258"/>
      <c r="R3" s="259"/>
      <c r="S3" s="292" t="s">
        <v>262</v>
      </c>
      <c r="T3" s="261"/>
      <c r="U3" s="261"/>
      <c r="V3" s="261"/>
      <c r="W3" s="261"/>
      <c r="X3" s="261"/>
      <c r="Y3" s="261"/>
      <c r="Z3" s="261"/>
      <c r="AA3" s="261"/>
      <c r="AB3" s="261"/>
      <c r="AC3" s="262"/>
      <c r="AD3" s="263" t="s">
        <v>263</v>
      </c>
      <c r="AE3" s="261"/>
      <c r="AF3" s="261"/>
      <c r="AG3" s="261"/>
      <c r="AH3" s="261"/>
      <c r="AI3" s="261"/>
      <c r="AJ3" s="261"/>
      <c r="AK3" s="261"/>
      <c r="AL3" s="261"/>
      <c r="AM3" s="261"/>
      <c r="AN3" s="261"/>
      <c r="AO3" s="261"/>
      <c r="AP3" s="261"/>
      <c r="AQ3" s="261"/>
      <c r="AR3" s="261"/>
      <c r="AS3" s="261"/>
      <c r="AT3" s="261"/>
      <c r="AU3" s="261"/>
      <c r="AV3" s="261"/>
      <c r="AW3" s="261"/>
      <c r="AX3" s="261"/>
      <c r="AY3" s="262"/>
      <c r="AZ3" s="260" t="s">
        <v>278</v>
      </c>
      <c r="BA3" s="261"/>
      <c r="BB3" s="261"/>
      <c r="BC3" s="261"/>
      <c r="BD3" s="262"/>
      <c r="BE3" s="260"/>
      <c r="BF3" s="261"/>
      <c r="BG3" s="261"/>
      <c r="BH3" s="261"/>
      <c r="BI3" s="261"/>
      <c r="BJ3" s="261"/>
      <c r="BK3" s="261"/>
      <c r="BL3" s="262"/>
      <c r="BM3" s="260"/>
      <c r="BN3" s="261"/>
      <c r="BO3" s="261"/>
      <c r="BP3" s="261"/>
      <c r="BQ3" s="262"/>
      <c r="BR3" s="260"/>
      <c r="BS3" s="261"/>
      <c r="BT3" s="261"/>
      <c r="BU3" s="261"/>
      <c r="BV3" s="262"/>
      <c r="BW3" s="264" t="s">
        <v>329</v>
      </c>
      <c r="BX3" s="265"/>
      <c r="BY3" s="265"/>
      <c r="BZ3" s="265"/>
      <c r="CA3" s="265"/>
      <c r="CB3" s="265"/>
      <c r="CC3" s="265"/>
      <c r="CD3" s="266"/>
    </row>
    <row r="4" spans="1:82" ht="15" customHeight="1">
      <c r="A4" s="250"/>
      <c r="B4" s="422">
        <f>B3+1</f>
        <v>2</v>
      </c>
      <c r="C4" s="422"/>
      <c r="D4" s="267" t="s">
        <v>118</v>
      </c>
      <c r="E4" s="258"/>
      <c r="F4" s="258"/>
      <c r="G4" s="258"/>
      <c r="H4" s="258"/>
      <c r="I4" s="259"/>
      <c r="J4" s="291" t="s">
        <v>490</v>
      </c>
      <c r="K4" s="258"/>
      <c r="L4" s="258"/>
      <c r="M4" s="258"/>
      <c r="N4" s="258"/>
      <c r="O4" s="258"/>
      <c r="P4" s="258"/>
      <c r="Q4" s="258"/>
      <c r="R4" s="259"/>
      <c r="S4" s="292" t="s">
        <v>302</v>
      </c>
      <c r="T4" s="261"/>
      <c r="U4" s="261"/>
      <c r="V4" s="261"/>
      <c r="W4" s="261"/>
      <c r="X4" s="261"/>
      <c r="Y4" s="261"/>
      <c r="Z4" s="261"/>
      <c r="AA4" s="261"/>
      <c r="AB4" s="261"/>
      <c r="AC4" s="262"/>
      <c r="AD4" s="263" t="s">
        <v>305</v>
      </c>
      <c r="AE4" s="261"/>
      <c r="AF4" s="261"/>
      <c r="AG4" s="261"/>
      <c r="AH4" s="261"/>
      <c r="AI4" s="261"/>
      <c r="AJ4" s="261"/>
      <c r="AK4" s="261"/>
      <c r="AL4" s="261"/>
      <c r="AM4" s="261"/>
      <c r="AN4" s="261"/>
      <c r="AO4" s="261"/>
      <c r="AP4" s="261"/>
      <c r="AQ4" s="261"/>
      <c r="AR4" s="261"/>
      <c r="AS4" s="261"/>
      <c r="AT4" s="261"/>
      <c r="AU4" s="261"/>
      <c r="AV4" s="261"/>
      <c r="AW4" s="261"/>
      <c r="AX4" s="261"/>
      <c r="AY4" s="262"/>
      <c r="AZ4" s="260" t="s">
        <v>278</v>
      </c>
      <c r="BA4" s="261"/>
      <c r="BB4" s="261"/>
      <c r="BC4" s="261"/>
      <c r="BD4" s="262"/>
      <c r="BE4" s="260" t="s">
        <v>306</v>
      </c>
      <c r="BF4" s="261"/>
      <c r="BG4" s="261"/>
      <c r="BH4" s="261"/>
      <c r="BI4" s="261"/>
      <c r="BJ4" s="261"/>
      <c r="BK4" s="261"/>
      <c r="BL4" s="262"/>
      <c r="BM4" s="260"/>
      <c r="BN4" s="261"/>
      <c r="BO4" s="261"/>
      <c r="BP4" s="261"/>
      <c r="BQ4" s="262"/>
      <c r="BR4" s="260"/>
      <c r="BS4" s="261"/>
      <c r="BT4" s="261"/>
      <c r="BU4" s="261"/>
      <c r="BV4" s="262"/>
      <c r="BW4" s="264" t="s">
        <v>329</v>
      </c>
      <c r="BX4" s="265"/>
      <c r="BY4" s="265"/>
      <c r="BZ4" s="265"/>
      <c r="CA4" s="265"/>
      <c r="CB4" s="265"/>
      <c r="CC4" s="265"/>
      <c r="CD4" s="266"/>
    </row>
    <row r="5" spans="1:82" ht="15" customHeight="1">
      <c r="A5" s="250"/>
      <c r="B5" s="422">
        <f t="shared" ref="B5:B11" si="0">B4+1</f>
        <v>3</v>
      </c>
      <c r="C5" s="422"/>
      <c r="D5" s="267" t="s">
        <v>118</v>
      </c>
      <c r="E5" s="258"/>
      <c r="F5" s="258"/>
      <c r="G5" s="258"/>
      <c r="H5" s="258"/>
      <c r="I5" s="259"/>
      <c r="J5" s="291" t="s">
        <v>491</v>
      </c>
      <c r="K5" s="258"/>
      <c r="L5" s="258"/>
      <c r="M5" s="258"/>
      <c r="N5" s="258"/>
      <c r="O5" s="258"/>
      <c r="P5" s="258"/>
      <c r="Q5" s="258"/>
      <c r="R5" s="259"/>
      <c r="S5" s="292" t="s">
        <v>264</v>
      </c>
      <c r="T5" s="261"/>
      <c r="U5" s="261"/>
      <c r="V5" s="261"/>
      <c r="W5" s="261"/>
      <c r="X5" s="261"/>
      <c r="Y5" s="261"/>
      <c r="Z5" s="261"/>
      <c r="AA5" s="261"/>
      <c r="AB5" s="261"/>
      <c r="AC5" s="262"/>
      <c r="AD5" s="263" t="s">
        <v>307</v>
      </c>
      <c r="AE5" s="261"/>
      <c r="AF5" s="261"/>
      <c r="AG5" s="261"/>
      <c r="AH5" s="261"/>
      <c r="AI5" s="261"/>
      <c r="AJ5" s="261"/>
      <c r="AK5" s="261"/>
      <c r="AL5" s="261"/>
      <c r="AM5" s="261"/>
      <c r="AN5" s="261"/>
      <c r="AO5" s="261"/>
      <c r="AP5" s="261"/>
      <c r="AQ5" s="261"/>
      <c r="AR5" s="261"/>
      <c r="AS5" s="261"/>
      <c r="AT5" s="261"/>
      <c r="AU5" s="261"/>
      <c r="AV5" s="261"/>
      <c r="AW5" s="261"/>
      <c r="AX5" s="261"/>
      <c r="AY5" s="262"/>
      <c r="AZ5" s="260" t="s">
        <v>278</v>
      </c>
      <c r="BA5" s="261"/>
      <c r="BB5" s="261"/>
      <c r="BC5" s="261"/>
      <c r="BD5" s="262"/>
      <c r="BE5" s="260" t="s">
        <v>265</v>
      </c>
      <c r="BF5" s="261"/>
      <c r="BG5" s="261"/>
      <c r="BH5" s="261"/>
      <c r="BI5" s="261"/>
      <c r="BJ5" s="261"/>
      <c r="BK5" s="261"/>
      <c r="BL5" s="262"/>
      <c r="BM5" s="260"/>
      <c r="BN5" s="261"/>
      <c r="BO5" s="261"/>
      <c r="BP5" s="261"/>
      <c r="BQ5" s="262"/>
      <c r="BR5" s="260"/>
      <c r="BS5" s="261"/>
      <c r="BT5" s="261"/>
      <c r="BU5" s="261"/>
      <c r="BV5" s="262"/>
      <c r="BW5" s="264" t="s">
        <v>329</v>
      </c>
      <c r="BX5" s="265"/>
      <c r="BY5" s="265"/>
      <c r="BZ5" s="265"/>
      <c r="CA5" s="265"/>
      <c r="CB5" s="265"/>
      <c r="CC5" s="265"/>
      <c r="CD5" s="266"/>
    </row>
    <row r="6" spans="1:82" ht="15" customHeight="1">
      <c r="A6" s="250"/>
      <c r="B6" s="422">
        <f t="shared" si="0"/>
        <v>4</v>
      </c>
      <c r="C6" s="422"/>
      <c r="D6" s="257" t="s">
        <v>122</v>
      </c>
      <c r="E6" s="258"/>
      <c r="F6" s="258"/>
      <c r="G6" s="258"/>
      <c r="H6" s="258"/>
      <c r="I6" s="259"/>
      <c r="J6" s="290" t="s">
        <v>489</v>
      </c>
      <c r="K6" s="258"/>
      <c r="L6" s="258"/>
      <c r="M6" s="258"/>
      <c r="N6" s="258"/>
      <c r="O6" s="258"/>
      <c r="P6" s="258"/>
      <c r="Q6" s="258"/>
      <c r="R6" s="259"/>
      <c r="S6" s="292" t="s">
        <v>262</v>
      </c>
      <c r="T6" s="261"/>
      <c r="U6" s="261"/>
      <c r="V6" s="261"/>
      <c r="W6" s="261"/>
      <c r="X6" s="261"/>
      <c r="Y6" s="261"/>
      <c r="Z6" s="261"/>
      <c r="AA6" s="261"/>
      <c r="AB6" s="261"/>
      <c r="AC6" s="262"/>
      <c r="AD6" s="263" t="s">
        <v>263</v>
      </c>
      <c r="AE6" s="261"/>
      <c r="AF6" s="261"/>
      <c r="AG6" s="261"/>
      <c r="AH6" s="261"/>
      <c r="AI6" s="261"/>
      <c r="AJ6" s="261"/>
      <c r="AK6" s="261"/>
      <c r="AL6" s="261"/>
      <c r="AM6" s="261"/>
      <c r="AN6" s="261"/>
      <c r="AO6" s="261"/>
      <c r="AP6" s="261"/>
      <c r="AQ6" s="261"/>
      <c r="AR6" s="261"/>
      <c r="AS6" s="261"/>
      <c r="AT6" s="261"/>
      <c r="AU6" s="261"/>
      <c r="AV6" s="261"/>
      <c r="AW6" s="261"/>
      <c r="AX6" s="261"/>
      <c r="AY6" s="262"/>
      <c r="AZ6" s="260" t="s">
        <v>122</v>
      </c>
      <c r="BA6" s="261"/>
      <c r="BB6" s="261"/>
      <c r="BC6" s="261"/>
      <c r="BD6" s="262"/>
      <c r="BE6" s="260"/>
      <c r="BF6" s="261"/>
      <c r="BG6" s="261"/>
      <c r="BH6" s="261"/>
      <c r="BI6" s="261"/>
      <c r="BJ6" s="261"/>
      <c r="BK6" s="261"/>
      <c r="BL6" s="262"/>
      <c r="BM6" s="260"/>
      <c r="BN6" s="261"/>
      <c r="BO6" s="261"/>
      <c r="BP6" s="261"/>
      <c r="BQ6" s="262"/>
      <c r="BR6" s="260"/>
      <c r="BS6" s="261"/>
      <c r="BT6" s="261"/>
      <c r="BU6" s="261"/>
      <c r="BV6" s="262"/>
      <c r="BW6" s="264" t="s">
        <v>329</v>
      </c>
      <c r="BX6" s="265"/>
      <c r="BY6" s="265"/>
      <c r="BZ6" s="265"/>
      <c r="CA6" s="265"/>
      <c r="CB6" s="265"/>
      <c r="CC6" s="265"/>
      <c r="CD6" s="266"/>
    </row>
    <row r="7" spans="1:82" ht="15" customHeight="1">
      <c r="A7" s="250"/>
      <c r="B7" s="422">
        <f t="shared" si="0"/>
        <v>5</v>
      </c>
      <c r="C7" s="422"/>
      <c r="D7" s="267" t="s">
        <v>122</v>
      </c>
      <c r="E7" s="258"/>
      <c r="F7" s="258"/>
      <c r="G7" s="258"/>
      <c r="H7" s="258"/>
      <c r="I7" s="259"/>
      <c r="J7" s="291" t="s">
        <v>492</v>
      </c>
      <c r="K7" s="258"/>
      <c r="L7" s="258"/>
      <c r="M7" s="258"/>
      <c r="N7" s="258"/>
      <c r="O7" s="258"/>
      <c r="P7" s="258"/>
      <c r="Q7" s="258"/>
      <c r="R7" s="259"/>
      <c r="S7" s="292" t="s">
        <v>302</v>
      </c>
      <c r="T7" s="261"/>
      <c r="U7" s="261"/>
      <c r="V7" s="261"/>
      <c r="W7" s="261"/>
      <c r="X7" s="261"/>
      <c r="Y7" s="261"/>
      <c r="Z7" s="261"/>
      <c r="AA7" s="261"/>
      <c r="AB7" s="261"/>
      <c r="AC7" s="262"/>
      <c r="AD7" s="263" t="s">
        <v>305</v>
      </c>
      <c r="AE7" s="261"/>
      <c r="AF7" s="261"/>
      <c r="AG7" s="261"/>
      <c r="AH7" s="261"/>
      <c r="AI7" s="261"/>
      <c r="AJ7" s="261"/>
      <c r="AK7" s="261"/>
      <c r="AL7" s="261"/>
      <c r="AM7" s="261"/>
      <c r="AN7" s="261"/>
      <c r="AO7" s="261"/>
      <c r="AP7" s="261"/>
      <c r="AQ7" s="261"/>
      <c r="AR7" s="261"/>
      <c r="AS7" s="261"/>
      <c r="AT7" s="261"/>
      <c r="AU7" s="261"/>
      <c r="AV7" s="261"/>
      <c r="AW7" s="261"/>
      <c r="AX7" s="261"/>
      <c r="AY7" s="262"/>
      <c r="AZ7" s="260" t="s">
        <v>122</v>
      </c>
      <c r="BA7" s="261"/>
      <c r="BB7" s="261"/>
      <c r="BC7" s="261"/>
      <c r="BD7" s="262"/>
      <c r="BE7" s="260" t="s">
        <v>308</v>
      </c>
      <c r="BF7" s="261"/>
      <c r="BG7" s="261"/>
      <c r="BH7" s="261"/>
      <c r="BI7" s="261"/>
      <c r="BJ7" s="261"/>
      <c r="BK7" s="261"/>
      <c r="BL7" s="262"/>
      <c r="BM7" s="260"/>
      <c r="BN7" s="261"/>
      <c r="BO7" s="261"/>
      <c r="BP7" s="261"/>
      <c r="BQ7" s="262"/>
      <c r="BR7" s="260"/>
      <c r="BS7" s="261"/>
      <c r="BT7" s="261"/>
      <c r="BU7" s="261"/>
      <c r="BV7" s="262"/>
      <c r="BW7" s="264" t="s">
        <v>329</v>
      </c>
      <c r="BX7" s="265"/>
      <c r="BY7" s="265"/>
      <c r="BZ7" s="265"/>
      <c r="CA7" s="265"/>
      <c r="CB7" s="265"/>
      <c r="CC7" s="265"/>
      <c r="CD7" s="266"/>
    </row>
    <row r="8" spans="1:82" ht="15" customHeight="1">
      <c r="A8" s="250"/>
      <c r="B8" s="422">
        <f t="shared" si="0"/>
        <v>6</v>
      </c>
      <c r="C8" s="422"/>
      <c r="D8" s="267" t="s">
        <v>122</v>
      </c>
      <c r="E8" s="258"/>
      <c r="F8" s="258"/>
      <c r="G8" s="258"/>
      <c r="H8" s="258"/>
      <c r="I8" s="259"/>
      <c r="J8" s="291" t="s">
        <v>493</v>
      </c>
      <c r="K8" s="258"/>
      <c r="L8" s="258"/>
      <c r="M8" s="258"/>
      <c r="N8" s="258"/>
      <c r="O8" s="258"/>
      <c r="P8" s="258"/>
      <c r="Q8" s="258"/>
      <c r="R8" s="259"/>
      <c r="S8" s="292" t="s">
        <v>303</v>
      </c>
      <c r="T8" s="261"/>
      <c r="U8" s="261"/>
      <c r="V8" s="261"/>
      <c r="W8" s="261"/>
      <c r="X8" s="261"/>
      <c r="Y8" s="261"/>
      <c r="Z8" s="261"/>
      <c r="AA8" s="261"/>
      <c r="AB8" s="261"/>
      <c r="AC8" s="262"/>
      <c r="AD8" s="263" t="s">
        <v>307</v>
      </c>
      <c r="AE8" s="261"/>
      <c r="AF8" s="261"/>
      <c r="AG8" s="261"/>
      <c r="AH8" s="261"/>
      <c r="AI8" s="261"/>
      <c r="AJ8" s="261"/>
      <c r="AK8" s="261"/>
      <c r="AL8" s="261"/>
      <c r="AM8" s="261"/>
      <c r="AN8" s="261"/>
      <c r="AO8" s="261"/>
      <c r="AP8" s="261"/>
      <c r="AQ8" s="261"/>
      <c r="AR8" s="261"/>
      <c r="AS8" s="261"/>
      <c r="AT8" s="261"/>
      <c r="AU8" s="261"/>
      <c r="AV8" s="261"/>
      <c r="AW8" s="261"/>
      <c r="AX8" s="261"/>
      <c r="AY8" s="262"/>
      <c r="AZ8" s="260" t="s">
        <v>122</v>
      </c>
      <c r="BA8" s="261"/>
      <c r="BB8" s="261"/>
      <c r="BC8" s="261"/>
      <c r="BD8" s="262"/>
      <c r="BE8" s="260" t="s">
        <v>309</v>
      </c>
      <c r="BF8" s="261"/>
      <c r="BG8" s="261"/>
      <c r="BH8" s="261"/>
      <c r="BI8" s="261"/>
      <c r="BJ8" s="261"/>
      <c r="BK8" s="261"/>
      <c r="BL8" s="262"/>
      <c r="BM8" s="260"/>
      <c r="BN8" s="261"/>
      <c r="BO8" s="261"/>
      <c r="BP8" s="261"/>
      <c r="BQ8" s="262"/>
      <c r="BR8" s="260"/>
      <c r="BS8" s="261"/>
      <c r="BT8" s="261"/>
      <c r="BU8" s="261"/>
      <c r="BV8" s="262"/>
      <c r="BW8" s="264" t="s">
        <v>329</v>
      </c>
      <c r="BX8" s="265"/>
      <c r="BY8" s="265"/>
      <c r="BZ8" s="265"/>
      <c r="CA8" s="265"/>
      <c r="CB8" s="265"/>
      <c r="CC8" s="265"/>
      <c r="CD8" s="266"/>
    </row>
    <row r="9" spans="1:82" ht="15" customHeight="1">
      <c r="A9" s="250"/>
      <c r="B9" s="422">
        <f t="shared" si="0"/>
        <v>7</v>
      </c>
      <c r="C9" s="422"/>
      <c r="D9" s="257" t="s">
        <v>279</v>
      </c>
      <c r="E9" s="258"/>
      <c r="F9" s="258"/>
      <c r="G9" s="258"/>
      <c r="H9" s="258"/>
      <c r="I9" s="259"/>
      <c r="J9" s="291" t="s">
        <v>300</v>
      </c>
      <c r="K9" s="258"/>
      <c r="L9" s="258"/>
      <c r="M9" s="258"/>
      <c r="N9" s="258"/>
      <c r="O9" s="258"/>
      <c r="P9" s="258"/>
      <c r="Q9" s="258"/>
      <c r="R9" s="259"/>
      <c r="S9" s="292" t="s">
        <v>310</v>
      </c>
      <c r="T9" s="261"/>
      <c r="U9" s="261"/>
      <c r="V9" s="261"/>
      <c r="W9" s="261"/>
      <c r="X9" s="261"/>
      <c r="Y9" s="261"/>
      <c r="Z9" s="261"/>
      <c r="AA9" s="261"/>
      <c r="AB9" s="261"/>
      <c r="AC9" s="262"/>
      <c r="AD9" s="263" t="s">
        <v>311</v>
      </c>
      <c r="AE9" s="261"/>
      <c r="AF9" s="261"/>
      <c r="AG9" s="261"/>
      <c r="AH9" s="261"/>
      <c r="AI9" s="261"/>
      <c r="AJ9" s="261"/>
      <c r="AK9" s="261"/>
      <c r="AL9" s="261"/>
      <c r="AM9" s="261"/>
      <c r="AN9" s="261"/>
      <c r="AO9" s="261"/>
      <c r="AP9" s="261"/>
      <c r="AQ9" s="261"/>
      <c r="AR9" s="261"/>
      <c r="AS9" s="261"/>
      <c r="AT9" s="261"/>
      <c r="AU9" s="261"/>
      <c r="AV9" s="261"/>
      <c r="AW9" s="261"/>
      <c r="AX9" s="261"/>
      <c r="AY9" s="262"/>
      <c r="AZ9" s="260" t="s">
        <v>279</v>
      </c>
      <c r="BA9" s="261"/>
      <c r="BB9" s="261"/>
      <c r="BC9" s="261"/>
      <c r="BD9" s="262"/>
      <c r="BE9" s="260" t="s">
        <v>287</v>
      </c>
      <c r="BF9" s="261"/>
      <c r="BG9" s="261"/>
      <c r="BH9" s="261"/>
      <c r="BI9" s="261"/>
      <c r="BJ9" s="261"/>
      <c r="BK9" s="261"/>
      <c r="BL9" s="262"/>
      <c r="BM9" s="260"/>
      <c r="BN9" s="261"/>
      <c r="BO9" s="261"/>
      <c r="BP9" s="261"/>
      <c r="BQ9" s="262"/>
      <c r="BR9" s="260"/>
      <c r="BS9" s="261"/>
      <c r="BT9" s="261"/>
      <c r="BU9" s="261"/>
      <c r="BV9" s="262"/>
      <c r="BW9" s="264" t="s">
        <v>329</v>
      </c>
      <c r="BX9" s="265"/>
      <c r="BY9" s="265"/>
      <c r="BZ9" s="265"/>
      <c r="CA9" s="265"/>
      <c r="CB9" s="265"/>
      <c r="CC9" s="265"/>
      <c r="CD9" s="266"/>
    </row>
    <row r="10" spans="1:82" ht="15" customHeight="1">
      <c r="A10" s="250"/>
      <c r="B10" s="422">
        <f t="shared" si="0"/>
        <v>8</v>
      </c>
      <c r="C10" s="422"/>
      <c r="D10" s="257" t="s">
        <v>280</v>
      </c>
      <c r="E10" s="258"/>
      <c r="F10" s="258"/>
      <c r="G10" s="258"/>
      <c r="H10" s="258"/>
      <c r="I10" s="259"/>
      <c r="J10" s="290" t="s">
        <v>299</v>
      </c>
      <c r="K10" s="258"/>
      <c r="L10" s="258"/>
      <c r="M10" s="258"/>
      <c r="N10" s="258"/>
      <c r="O10" s="258"/>
      <c r="P10" s="258"/>
      <c r="Q10" s="258"/>
      <c r="R10" s="259"/>
      <c r="S10" s="292" t="s">
        <v>262</v>
      </c>
      <c r="T10" s="261"/>
      <c r="U10" s="261"/>
      <c r="V10" s="261"/>
      <c r="W10" s="261"/>
      <c r="X10" s="261"/>
      <c r="Y10" s="261"/>
      <c r="Z10" s="261"/>
      <c r="AA10" s="261"/>
      <c r="AB10" s="261"/>
      <c r="AC10" s="262"/>
      <c r="AD10" s="263" t="s">
        <v>263</v>
      </c>
      <c r="AE10" s="261"/>
      <c r="AF10" s="261"/>
      <c r="AG10" s="261"/>
      <c r="AH10" s="261"/>
      <c r="AI10" s="261"/>
      <c r="AJ10" s="261"/>
      <c r="AK10" s="261"/>
      <c r="AL10" s="261"/>
      <c r="AM10" s="261"/>
      <c r="AN10" s="261"/>
      <c r="AO10" s="261"/>
      <c r="AP10" s="261"/>
      <c r="AQ10" s="261"/>
      <c r="AR10" s="261"/>
      <c r="AS10" s="261"/>
      <c r="AT10" s="261"/>
      <c r="AU10" s="261"/>
      <c r="AV10" s="261"/>
      <c r="AW10" s="261"/>
      <c r="AX10" s="261"/>
      <c r="AY10" s="262"/>
      <c r="AZ10" s="260" t="s">
        <v>280</v>
      </c>
      <c r="BA10" s="261"/>
      <c r="BB10" s="261"/>
      <c r="BC10" s="261"/>
      <c r="BD10" s="262"/>
      <c r="BE10" s="260"/>
      <c r="BF10" s="261"/>
      <c r="BG10" s="261"/>
      <c r="BH10" s="261"/>
      <c r="BI10" s="261"/>
      <c r="BJ10" s="261"/>
      <c r="BK10" s="261"/>
      <c r="BL10" s="262"/>
      <c r="BM10" s="260"/>
      <c r="BN10" s="261"/>
      <c r="BO10" s="261"/>
      <c r="BP10" s="261"/>
      <c r="BQ10" s="262"/>
      <c r="BR10" s="260"/>
      <c r="BS10" s="261"/>
      <c r="BT10" s="261"/>
      <c r="BU10" s="261"/>
      <c r="BV10" s="262"/>
      <c r="BW10" s="264" t="s">
        <v>329</v>
      </c>
      <c r="BX10" s="265"/>
      <c r="BY10" s="265"/>
      <c r="BZ10" s="265"/>
      <c r="CA10" s="265"/>
      <c r="CB10" s="265"/>
      <c r="CC10" s="265"/>
      <c r="CD10" s="266"/>
    </row>
    <row r="11" spans="1:82" ht="15" customHeight="1">
      <c r="A11" s="250"/>
      <c r="B11" s="422">
        <f t="shared" si="0"/>
        <v>9</v>
      </c>
      <c r="C11" s="422"/>
      <c r="D11" s="267" t="str">
        <f>D10</f>
        <v>電子交付承諾区分</v>
      </c>
      <c r="E11" s="258"/>
      <c r="F11" s="258"/>
      <c r="G11" s="258"/>
      <c r="H11" s="258"/>
      <c r="I11" s="259"/>
      <c r="J11" s="291" t="s">
        <v>301</v>
      </c>
      <c r="K11" s="258"/>
      <c r="L11" s="258"/>
      <c r="M11" s="258"/>
      <c r="N11" s="258"/>
      <c r="O11" s="258"/>
      <c r="P11" s="258"/>
      <c r="Q11" s="258"/>
      <c r="R11" s="259"/>
      <c r="S11" s="292" t="s">
        <v>304</v>
      </c>
      <c r="T11" s="261"/>
      <c r="U11" s="261"/>
      <c r="V11" s="261"/>
      <c r="W11" s="261"/>
      <c r="X11" s="261"/>
      <c r="Y11" s="261"/>
      <c r="Z11" s="261"/>
      <c r="AA11" s="261"/>
      <c r="AB11" s="261"/>
      <c r="AC11" s="262"/>
      <c r="AD11" s="263" t="s">
        <v>313</v>
      </c>
      <c r="AE11" s="261"/>
      <c r="AF11" s="261"/>
      <c r="AG11" s="261"/>
      <c r="AH11" s="261"/>
      <c r="AI11" s="261"/>
      <c r="AJ11" s="261"/>
      <c r="AK11" s="261"/>
      <c r="AL11" s="261"/>
      <c r="AM11" s="261"/>
      <c r="AN11" s="261"/>
      <c r="AO11" s="261"/>
      <c r="AP11" s="261"/>
      <c r="AQ11" s="261"/>
      <c r="AR11" s="261"/>
      <c r="AS11" s="261"/>
      <c r="AT11" s="261"/>
      <c r="AU11" s="261"/>
      <c r="AV11" s="261"/>
      <c r="AW11" s="261"/>
      <c r="AX11" s="261"/>
      <c r="AY11" s="262"/>
      <c r="AZ11" s="260" t="s">
        <v>280</v>
      </c>
      <c r="BA11" s="261"/>
      <c r="BB11" s="261"/>
      <c r="BC11" s="261"/>
      <c r="BD11" s="262"/>
      <c r="BE11" s="260" t="s">
        <v>312</v>
      </c>
      <c r="BF11" s="261"/>
      <c r="BG11" s="261"/>
      <c r="BH11" s="261"/>
      <c r="BI11" s="261"/>
      <c r="BJ11" s="261"/>
      <c r="BK11" s="261"/>
      <c r="BL11" s="262"/>
      <c r="BM11" s="260"/>
      <c r="BN11" s="261"/>
      <c r="BO11" s="261"/>
      <c r="BP11" s="261"/>
      <c r="BQ11" s="262"/>
      <c r="BR11" s="260"/>
      <c r="BS11" s="261"/>
      <c r="BT11" s="261"/>
      <c r="BU11" s="261"/>
      <c r="BV11" s="262"/>
      <c r="BW11" s="264" t="s">
        <v>329</v>
      </c>
      <c r="BX11" s="265"/>
      <c r="BY11" s="265"/>
      <c r="BZ11" s="265"/>
      <c r="CA11" s="265"/>
      <c r="CB11" s="265"/>
      <c r="CC11" s="265"/>
      <c r="CD11" s="266"/>
    </row>
    <row r="12" spans="1:82" ht="15" customHeight="1">
      <c r="B12" s="268"/>
      <c r="C12" s="269"/>
      <c r="D12" s="269"/>
      <c r="E12" s="269"/>
      <c r="F12" s="269"/>
      <c r="G12" s="269"/>
      <c r="H12" s="269"/>
      <c r="I12" s="269"/>
      <c r="J12" s="269"/>
      <c r="K12" s="269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  <c r="AA12" s="269"/>
      <c r="AB12" s="269"/>
      <c r="AC12" s="269"/>
      <c r="AD12" s="269"/>
      <c r="AE12" s="269"/>
      <c r="AF12" s="269"/>
      <c r="AG12" s="269"/>
      <c r="AH12" s="270"/>
      <c r="AI12" s="270"/>
      <c r="AJ12" s="270"/>
      <c r="AK12" s="270"/>
      <c r="AL12" s="270"/>
      <c r="AM12" s="270"/>
      <c r="AN12" s="270"/>
      <c r="AO12" s="270"/>
      <c r="AP12" s="270"/>
      <c r="AQ12" s="270"/>
      <c r="AR12" s="270"/>
      <c r="AS12" s="270"/>
      <c r="AT12" s="270"/>
      <c r="AU12" s="270"/>
      <c r="AV12" s="270"/>
      <c r="AW12" s="270"/>
      <c r="AX12" s="270"/>
      <c r="AY12" s="270"/>
      <c r="AZ12" s="270"/>
      <c r="BA12" s="270"/>
      <c r="BB12" s="270"/>
      <c r="BC12" s="270"/>
      <c r="BD12" s="270"/>
      <c r="BE12" s="270"/>
      <c r="BF12" s="270"/>
      <c r="BG12" s="270"/>
      <c r="BH12" s="270"/>
      <c r="BI12" s="270"/>
      <c r="BJ12" s="270"/>
      <c r="BK12" s="270"/>
      <c r="BL12" s="270"/>
      <c r="BM12" s="270"/>
      <c r="BN12" s="270"/>
      <c r="BO12" s="270"/>
      <c r="BP12" s="270"/>
      <c r="BQ12" s="270"/>
      <c r="BR12" s="270"/>
      <c r="BS12" s="270"/>
      <c r="BT12" s="270"/>
      <c r="BU12" s="270"/>
      <c r="BV12" s="270"/>
      <c r="BW12" s="270"/>
      <c r="BX12" s="270"/>
      <c r="BY12" s="270"/>
      <c r="BZ12" s="270"/>
      <c r="CA12" s="270"/>
      <c r="CB12" s="270"/>
      <c r="CC12" s="270"/>
      <c r="CD12" s="270"/>
    </row>
  </sheetData>
  <mergeCells count="9">
    <mergeCell ref="B9:C9"/>
    <mergeCell ref="B10:C10"/>
    <mergeCell ref="B11:C11"/>
    <mergeCell ref="B3:C3"/>
    <mergeCell ref="B4:C4"/>
    <mergeCell ref="B5:C5"/>
    <mergeCell ref="B6:C6"/>
    <mergeCell ref="B7:C7"/>
    <mergeCell ref="B8:C8"/>
  </mergeCells>
  <pageMargins left="0.7" right="0.7" top="0.75" bottom="0.75" header="0.3" footer="0.3"/>
  <pageSetup scale="6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1C35-ED69-4DC2-B706-05225695F244}">
  <sheetPr codeName="Sheet17"/>
  <dimension ref="A1:V103"/>
  <sheetViews>
    <sheetView showGridLines="0" zoomScaleNormal="100" workbookViewId="0">
      <selection activeCell="F23" sqref="F23"/>
    </sheetView>
  </sheetViews>
  <sheetFormatPr defaultRowHeight="15"/>
  <cols>
    <col min="10" max="10" width="25.7109375" bestFit="1" customWidth="1"/>
    <col min="13" max="13" width="25.7109375" bestFit="1" customWidth="1"/>
    <col min="16" max="16" width="25.7109375" bestFit="1" customWidth="1"/>
    <col min="19" max="19" width="25.7109375" bestFit="1" customWidth="1"/>
  </cols>
  <sheetData>
    <row r="1" spans="1:22" ht="18.75">
      <c r="A1" s="5" t="s">
        <v>160</v>
      </c>
      <c r="D1" s="5"/>
    </row>
    <row r="4" spans="1:22">
      <c r="A4" t="s">
        <v>161</v>
      </c>
      <c r="D4" t="s">
        <v>162</v>
      </c>
      <c r="I4" t="s">
        <v>162</v>
      </c>
      <c r="L4" t="s">
        <v>163</v>
      </c>
      <c r="O4" t="s">
        <v>164</v>
      </c>
      <c r="R4" t="s">
        <v>165</v>
      </c>
      <c r="U4" t="s">
        <v>166</v>
      </c>
    </row>
    <row r="5" spans="1:22">
      <c r="A5" t="s">
        <v>167</v>
      </c>
      <c r="D5" t="s">
        <v>168</v>
      </c>
      <c r="I5" t="s">
        <v>168</v>
      </c>
      <c r="L5" t="s">
        <v>169</v>
      </c>
      <c r="O5" t="s">
        <v>170</v>
      </c>
      <c r="R5" t="s">
        <v>170</v>
      </c>
      <c r="U5" t="s">
        <v>171</v>
      </c>
    </row>
    <row r="6" spans="1:22">
      <c r="A6" s="6" t="s">
        <v>172</v>
      </c>
      <c r="B6" s="6" t="s">
        <v>173</v>
      </c>
      <c r="D6" s="6" t="s">
        <v>172</v>
      </c>
      <c r="E6" s="6" t="s">
        <v>173</v>
      </c>
      <c r="I6" s="6" t="s">
        <v>172</v>
      </c>
      <c r="J6" s="6" t="s">
        <v>173</v>
      </c>
      <c r="L6" s="6" t="s">
        <v>172</v>
      </c>
      <c r="M6" s="6" t="s">
        <v>173</v>
      </c>
      <c r="O6" s="6" t="s">
        <v>172</v>
      </c>
      <c r="P6" s="6" t="s">
        <v>173</v>
      </c>
      <c r="R6" s="6" t="s">
        <v>172</v>
      </c>
      <c r="S6" s="6" t="s">
        <v>173</v>
      </c>
      <c r="U6" s="6" t="s">
        <v>172</v>
      </c>
      <c r="V6" s="6" t="s">
        <v>173</v>
      </c>
    </row>
    <row r="7" spans="1:22">
      <c r="A7" s="7">
        <v>1</v>
      </c>
      <c r="B7" s="7" t="s">
        <v>54</v>
      </c>
      <c r="C7" s="40"/>
      <c r="D7" s="7">
        <v>1</v>
      </c>
      <c r="E7" s="7" t="s">
        <v>21</v>
      </c>
      <c r="I7" s="7">
        <v>1</v>
      </c>
      <c r="J7" s="7" t="s">
        <v>88</v>
      </c>
      <c r="L7" s="7">
        <v>1</v>
      </c>
      <c r="M7" s="7" t="s">
        <v>88</v>
      </c>
      <c r="O7" s="7">
        <v>1</v>
      </c>
      <c r="P7" s="7" t="s">
        <v>174</v>
      </c>
      <c r="R7" s="7">
        <v>1</v>
      </c>
      <c r="S7" s="7" t="s">
        <v>174</v>
      </c>
      <c r="U7" s="7">
        <v>1</v>
      </c>
      <c r="V7" s="7" t="s">
        <v>175</v>
      </c>
    </row>
    <row r="8" spans="1:22">
      <c r="A8" s="7">
        <v>2</v>
      </c>
      <c r="B8" s="7" t="s">
        <v>57</v>
      </c>
      <c r="C8" s="40"/>
      <c r="D8" s="7">
        <v>2</v>
      </c>
      <c r="E8" s="7" t="s">
        <v>176</v>
      </c>
      <c r="I8" s="7">
        <v>2</v>
      </c>
      <c r="J8" s="7" t="s">
        <v>119</v>
      </c>
      <c r="L8" s="7">
        <v>2</v>
      </c>
      <c r="M8" s="7" t="s">
        <v>119</v>
      </c>
      <c r="O8" s="7">
        <v>2</v>
      </c>
      <c r="P8" s="7" t="s">
        <v>177</v>
      </c>
      <c r="R8" s="7">
        <v>2</v>
      </c>
      <c r="S8" s="7" t="s">
        <v>177</v>
      </c>
      <c r="U8" s="7">
        <v>2</v>
      </c>
      <c r="V8" s="7" t="s">
        <v>178</v>
      </c>
    </row>
    <row r="9" spans="1:22">
      <c r="A9" s="7">
        <v>3</v>
      </c>
      <c r="B9" s="7" t="s">
        <v>55</v>
      </c>
      <c r="D9" s="7">
        <v>3</v>
      </c>
      <c r="E9" s="7" t="s">
        <v>78</v>
      </c>
      <c r="I9" s="7">
        <v>3</v>
      </c>
      <c r="J9" s="7" t="s">
        <v>179</v>
      </c>
      <c r="L9" s="7">
        <v>3</v>
      </c>
      <c r="M9" s="7" t="s">
        <v>179</v>
      </c>
      <c r="O9" s="7">
        <v>3</v>
      </c>
      <c r="P9" s="7" t="s">
        <v>123</v>
      </c>
      <c r="R9" s="7">
        <v>3</v>
      </c>
      <c r="S9" s="7" t="s">
        <v>123</v>
      </c>
      <c r="U9" s="7">
        <v>3</v>
      </c>
      <c r="V9" s="7" t="s">
        <v>66</v>
      </c>
    </row>
    <row r="10" spans="1:22">
      <c r="I10" s="7">
        <v>4</v>
      </c>
      <c r="J10" s="7" t="s">
        <v>180</v>
      </c>
      <c r="L10" s="7">
        <v>4</v>
      </c>
      <c r="M10" s="7" t="s">
        <v>180</v>
      </c>
      <c r="O10" s="7">
        <v>4</v>
      </c>
      <c r="P10" s="7" t="s">
        <v>121</v>
      </c>
      <c r="R10" s="7">
        <v>4</v>
      </c>
      <c r="S10" s="7" t="s">
        <v>121</v>
      </c>
    </row>
    <row r="11" spans="1:22">
      <c r="A11" t="s">
        <v>181</v>
      </c>
      <c r="I11" s="7">
        <v>5</v>
      </c>
      <c r="J11" s="7" t="s">
        <v>182</v>
      </c>
      <c r="L11" s="7">
        <v>5</v>
      </c>
      <c r="M11" s="7" t="s">
        <v>182</v>
      </c>
      <c r="O11" s="7">
        <v>5</v>
      </c>
      <c r="P11" s="7" t="s">
        <v>183</v>
      </c>
      <c r="R11" s="7">
        <v>5</v>
      </c>
      <c r="S11" s="7" t="s">
        <v>183</v>
      </c>
      <c r="U11" t="s">
        <v>184</v>
      </c>
    </row>
    <row r="12" spans="1:22">
      <c r="A12" s="6" t="s">
        <v>172</v>
      </c>
      <c r="B12" s="6" t="s">
        <v>173</v>
      </c>
      <c r="I12" s="7">
        <v>6</v>
      </c>
      <c r="J12" s="7" t="s">
        <v>185</v>
      </c>
      <c r="L12" s="7">
        <v>6</v>
      </c>
      <c r="M12" s="7" t="s">
        <v>185</v>
      </c>
      <c r="O12" s="7">
        <v>6</v>
      </c>
      <c r="P12" s="7" t="s">
        <v>125</v>
      </c>
      <c r="R12" s="7">
        <v>6</v>
      </c>
      <c r="S12" s="7" t="s">
        <v>125</v>
      </c>
      <c r="U12" s="6" t="s">
        <v>172</v>
      </c>
      <c r="V12" s="6" t="s">
        <v>173</v>
      </c>
    </row>
    <row r="13" spans="1:22">
      <c r="A13" s="7">
        <v>1</v>
      </c>
      <c r="B13" s="7" t="s">
        <v>81</v>
      </c>
      <c r="I13" s="7">
        <v>7</v>
      </c>
      <c r="J13" s="7" t="s">
        <v>186</v>
      </c>
      <c r="L13" s="7">
        <v>7</v>
      </c>
      <c r="M13" s="7" t="s">
        <v>186</v>
      </c>
      <c r="O13" s="7">
        <v>7</v>
      </c>
      <c r="P13" s="7" t="s">
        <v>187</v>
      </c>
      <c r="R13" s="7">
        <v>7</v>
      </c>
      <c r="S13" s="7" t="s">
        <v>187</v>
      </c>
      <c r="U13" s="7">
        <v>1</v>
      </c>
      <c r="V13" s="7" t="s">
        <v>81</v>
      </c>
    </row>
    <row r="14" spans="1:22">
      <c r="A14" s="7">
        <v>2</v>
      </c>
      <c r="B14" s="7" t="s">
        <v>55</v>
      </c>
      <c r="H14" s="40"/>
      <c r="I14" s="41">
        <v>8</v>
      </c>
      <c r="J14" s="41" t="s">
        <v>188</v>
      </c>
      <c r="L14" s="7">
        <v>8</v>
      </c>
      <c r="M14" s="7" t="s">
        <v>113</v>
      </c>
      <c r="O14" s="7">
        <v>8</v>
      </c>
      <c r="P14" s="7" t="s">
        <v>189</v>
      </c>
      <c r="R14" s="7">
        <v>8</v>
      </c>
      <c r="S14" s="7" t="s">
        <v>189</v>
      </c>
      <c r="U14" s="7">
        <v>2</v>
      </c>
      <c r="V14" s="7" t="s">
        <v>190</v>
      </c>
    </row>
    <row r="15" spans="1:22">
      <c r="H15" s="40"/>
      <c r="I15" s="41">
        <v>9</v>
      </c>
      <c r="J15" s="41" t="s">
        <v>191</v>
      </c>
      <c r="L15" s="7">
        <v>9</v>
      </c>
      <c r="M15" s="7" t="s">
        <v>192</v>
      </c>
      <c r="O15" s="7">
        <v>9</v>
      </c>
      <c r="P15" s="7" t="s">
        <v>193</v>
      </c>
      <c r="R15" s="7">
        <v>9</v>
      </c>
      <c r="S15" s="7" t="s">
        <v>193</v>
      </c>
      <c r="U15" s="7">
        <v>3</v>
      </c>
      <c r="V15" s="7" t="s">
        <v>66</v>
      </c>
    </row>
    <row r="16" spans="1:22">
      <c r="H16" s="40"/>
      <c r="I16" s="41">
        <v>10</v>
      </c>
      <c r="J16" s="41" t="s">
        <v>194</v>
      </c>
      <c r="L16" s="7">
        <v>10</v>
      </c>
      <c r="M16" s="7" t="s">
        <v>126</v>
      </c>
      <c r="O16" s="7">
        <v>10</v>
      </c>
      <c r="P16" s="7" t="s">
        <v>195</v>
      </c>
      <c r="R16" s="7">
        <v>10</v>
      </c>
      <c r="S16" s="7" t="s">
        <v>195</v>
      </c>
    </row>
    <row r="17" spans="9:19">
      <c r="I17" s="7">
        <v>11</v>
      </c>
      <c r="J17" s="7" t="s">
        <v>113</v>
      </c>
      <c r="L17" s="7">
        <v>11</v>
      </c>
      <c r="M17" s="7" t="s">
        <v>66</v>
      </c>
      <c r="O17" s="7">
        <v>11</v>
      </c>
      <c r="P17" s="7" t="s">
        <v>196</v>
      </c>
      <c r="R17" s="7">
        <v>11</v>
      </c>
      <c r="S17" s="7" t="s">
        <v>196</v>
      </c>
    </row>
    <row r="18" spans="9:19">
      <c r="I18" s="7">
        <v>12</v>
      </c>
      <c r="J18" s="7" t="s">
        <v>192</v>
      </c>
      <c r="O18" s="7">
        <v>12</v>
      </c>
      <c r="P18" s="7" t="s">
        <v>197</v>
      </c>
      <c r="R18" s="7">
        <v>12</v>
      </c>
      <c r="S18" s="7" t="s">
        <v>197</v>
      </c>
    </row>
    <row r="19" spans="9:19">
      <c r="I19" s="7">
        <v>13</v>
      </c>
      <c r="J19" s="7" t="s">
        <v>126</v>
      </c>
      <c r="L19" t="s">
        <v>184</v>
      </c>
      <c r="O19" s="7">
        <v>13</v>
      </c>
      <c r="P19" s="7" t="s">
        <v>198</v>
      </c>
      <c r="R19" s="7">
        <v>13</v>
      </c>
      <c r="S19" s="7" t="s">
        <v>198</v>
      </c>
    </row>
    <row r="20" spans="9:19">
      <c r="I20" s="7">
        <v>14</v>
      </c>
      <c r="J20" s="7" t="s">
        <v>199</v>
      </c>
      <c r="L20" s="6" t="s">
        <v>172</v>
      </c>
      <c r="M20" s="6" t="s">
        <v>173</v>
      </c>
      <c r="O20" s="7">
        <v>14</v>
      </c>
      <c r="P20" s="7" t="s">
        <v>200</v>
      </c>
      <c r="R20" s="7">
        <v>14</v>
      </c>
      <c r="S20" s="7" t="s">
        <v>200</v>
      </c>
    </row>
    <row r="21" spans="9:19">
      <c r="I21" s="7">
        <v>15</v>
      </c>
      <c r="J21" s="7" t="s">
        <v>201</v>
      </c>
      <c r="L21" s="7">
        <v>1</v>
      </c>
      <c r="M21" s="7" t="s">
        <v>81</v>
      </c>
      <c r="O21" s="7">
        <v>15</v>
      </c>
      <c r="P21" s="7" t="s">
        <v>202</v>
      </c>
      <c r="R21" s="7">
        <v>15</v>
      </c>
      <c r="S21" s="7" t="s">
        <v>202</v>
      </c>
    </row>
    <row r="22" spans="9:19">
      <c r="I22" s="7">
        <v>16</v>
      </c>
      <c r="J22" s="7" t="s">
        <v>203</v>
      </c>
      <c r="L22" s="7">
        <v>2</v>
      </c>
      <c r="M22" s="7" t="s">
        <v>190</v>
      </c>
      <c r="O22" s="7">
        <v>16</v>
      </c>
      <c r="P22" s="7" t="s">
        <v>204</v>
      </c>
      <c r="R22" s="7">
        <v>16</v>
      </c>
      <c r="S22" s="7" t="s">
        <v>204</v>
      </c>
    </row>
    <row r="23" spans="9:19">
      <c r="L23" s="7">
        <v>3</v>
      </c>
      <c r="M23" s="7" t="s">
        <v>66</v>
      </c>
      <c r="O23" s="7">
        <v>17</v>
      </c>
      <c r="P23" s="7" t="s">
        <v>205</v>
      </c>
      <c r="R23" s="7">
        <v>17</v>
      </c>
      <c r="S23" s="7" t="s">
        <v>205</v>
      </c>
    </row>
    <row r="24" spans="9:19">
      <c r="I24" t="s">
        <v>206</v>
      </c>
      <c r="O24" s="7">
        <v>18</v>
      </c>
      <c r="P24" s="7" t="s">
        <v>207</v>
      </c>
      <c r="R24" s="7">
        <v>18</v>
      </c>
      <c r="S24" s="7" t="s">
        <v>207</v>
      </c>
    </row>
    <row r="25" spans="9:19">
      <c r="I25" s="6" t="s">
        <v>172</v>
      </c>
      <c r="J25" s="6" t="s">
        <v>173</v>
      </c>
      <c r="L25" t="s">
        <v>208</v>
      </c>
      <c r="O25" s="7">
        <v>19</v>
      </c>
      <c r="P25" s="7" t="s">
        <v>209</v>
      </c>
      <c r="R25" s="7">
        <v>19</v>
      </c>
      <c r="S25" s="7" t="s">
        <v>209</v>
      </c>
    </row>
    <row r="26" spans="9:19">
      <c r="I26" s="7">
        <v>1</v>
      </c>
      <c r="J26" s="7" t="s">
        <v>210</v>
      </c>
      <c r="L26" s="6" t="s">
        <v>172</v>
      </c>
      <c r="M26" s="6" t="s">
        <v>173</v>
      </c>
      <c r="O26" s="7">
        <v>20</v>
      </c>
      <c r="P26" s="7" t="s">
        <v>211</v>
      </c>
      <c r="R26" s="7">
        <v>20</v>
      </c>
      <c r="S26" s="7" t="s">
        <v>211</v>
      </c>
    </row>
    <row r="27" spans="9:19">
      <c r="I27" s="7">
        <v>2</v>
      </c>
      <c r="J27" s="7" t="s">
        <v>109</v>
      </c>
      <c r="L27" s="7">
        <v>1</v>
      </c>
      <c r="M27" s="7" t="s">
        <v>81</v>
      </c>
      <c r="O27" s="7">
        <v>21</v>
      </c>
      <c r="P27" s="7" t="s">
        <v>212</v>
      </c>
      <c r="R27" s="7">
        <v>21</v>
      </c>
      <c r="S27" s="7" t="s">
        <v>212</v>
      </c>
    </row>
    <row r="28" spans="9:19" ht="75">
      <c r="I28" s="7">
        <v>3</v>
      </c>
      <c r="J28" s="7" t="s">
        <v>213</v>
      </c>
      <c r="L28" s="7">
        <v>2</v>
      </c>
      <c r="M28" s="7"/>
      <c r="O28" s="7">
        <v>22</v>
      </c>
      <c r="P28" s="8" t="s">
        <v>214</v>
      </c>
      <c r="R28" s="7">
        <v>22</v>
      </c>
      <c r="S28" s="8" t="s">
        <v>214</v>
      </c>
    </row>
    <row r="29" spans="9:19" ht="30">
      <c r="I29" s="7">
        <v>4</v>
      </c>
      <c r="J29" s="7" t="s">
        <v>66</v>
      </c>
      <c r="L29" s="9"/>
      <c r="M29" s="9"/>
      <c r="O29" s="7">
        <v>23</v>
      </c>
      <c r="P29" s="8" t="s">
        <v>215</v>
      </c>
      <c r="R29" s="7">
        <v>23</v>
      </c>
      <c r="S29" s="8" t="s">
        <v>215</v>
      </c>
    </row>
    <row r="30" spans="9:19">
      <c r="L30" t="s">
        <v>170</v>
      </c>
      <c r="O30" s="7">
        <v>24</v>
      </c>
      <c r="P30" s="7" t="s">
        <v>216</v>
      </c>
      <c r="R30" s="7">
        <v>24</v>
      </c>
      <c r="S30" s="7" t="s">
        <v>216</v>
      </c>
    </row>
    <row r="31" spans="9:19">
      <c r="I31" t="s">
        <v>217</v>
      </c>
      <c r="L31" s="6" t="s">
        <v>172</v>
      </c>
      <c r="M31" s="6" t="s">
        <v>173</v>
      </c>
      <c r="O31" s="7">
        <v>25</v>
      </c>
      <c r="P31" s="8" t="s">
        <v>218</v>
      </c>
      <c r="R31" s="7">
        <v>25</v>
      </c>
      <c r="S31" s="8" t="s">
        <v>218</v>
      </c>
    </row>
    <row r="32" spans="9:19" ht="30">
      <c r="I32" s="6" t="s">
        <v>172</v>
      </c>
      <c r="J32" s="6" t="s">
        <v>173</v>
      </c>
      <c r="L32" s="7">
        <v>1</v>
      </c>
      <c r="M32" s="7" t="s">
        <v>174</v>
      </c>
      <c r="O32" s="7">
        <v>26</v>
      </c>
      <c r="P32" s="8" t="s">
        <v>219</v>
      </c>
      <c r="R32" s="7">
        <v>26</v>
      </c>
      <c r="S32" s="8" t="s">
        <v>219</v>
      </c>
    </row>
    <row r="33" spans="9:19">
      <c r="I33" s="7">
        <v>1</v>
      </c>
      <c r="J33" s="7" t="s">
        <v>110</v>
      </c>
      <c r="L33" s="7">
        <v>2</v>
      </c>
      <c r="M33" s="7" t="s">
        <v>177</v>
      </c>
      <c r="O33" s="7">
        <v>27</v>
      </c>
      <c r="P33" s="8" t="s">
        <v>220</v>
      </c>
      <c r="R33" s="7">
        <v>27</v>
      </c>
      <c r="S33" s="8" t="s">
        <v>220</v>
      </c>
    </row>
    <row r="34" spans="9:19">
      <c r="I34" s="7">
        <v>2</v>
      </c>
      <c r="J34" s="7" t="s">
        <v>109</v>
      </c>
      <c r="L34" s="7">
        <v>3</v>
      </c>
      <c r="M34" s="7" t="s">
        <v>123</v>
      </c>
      <c r="O34" s="7">
        <v>28</v>
      </c>
      <c r="P34" s="8" t="s">
        <v>221</v>
      </c>
      <c r="R34" s="7">
        <v>28</v>
      </c>
      <c r="S34" s="8" t="s">
        <v>221</v>
      </c>
    </row>
    <row r="35" spans="9:19">
      <c r="I35" s="7">
        <v>3</v>
      </c>
      <c r="J35" s="7" t="s">
        <v>124</v>
      </c>
      <c r="L35" s="7">
        <v>4</v>
      </c>
      <c r="M35" s="7" t="s">
        <v>121</v>
      </c>
      <c r="O35" s="7">
        <v>29</v>
      </c>
      <c r="P35" s="7" t="s">
        <v>66</v>
      </c>
      <c r="R35" s="7">
        <v>29</v>
      </c>
      <c r="S35" s="7" t="s">
        <v>66</v>
      </c>
    </row>
    <row r="36" spans="9:19">
      <c r="I36" s="7">
        <v>4</v>
      </c>
      <c r="J36" s="7" t="s">
        <v>66</v>
      </c>
      <c r="L36" s="7">
        <v>5</v>
      </c>
      <c r="M36" s="7" t="s">
        <v>183</v>
      </c>
    </row>
    <row r="37" spans="9:19">
      <c r="L37" s="7">
        <v>6</v>
      </c>
      <c r="M37" s="7" t="s">
        <v>125</v>
      </c>
    </row>
    <row r="38" spans="9:19">
      <c r="I38" t="s">
        <v>222</v>
      </c>
      <c r="L38" s="7">
        <v>7</v>
      </c>
      <c r="M38" s="7" t="s">
        <v>187</v>
      </c>
      <c r="O38" t="s">
        <v>223</v>
      </c>
      <c r="R38" t="s">
        <v>223</v>
      </c>
    </row>
    <row r="39" spans="9:19">
      <c r="I39" s="6" t="s">
        <v>172</v>
      </c>
      <c r="J39" s="6" t="s">
        <v>173</v>
      </c>
      <c r="L39" s="7">
        <v>8</v>
      </c>
      <c r="M39" s="7" t="s">
        <v>189</v>
      </c>
      <c r="O39" s="6" t="s">
        <v>172</v>
      </c>
      <c r="P39" s="6" t="s">
        <v>173</v>
      </c>
      <c r="R39" s="6" t="s">
        <v>172</v>
      </c>
      <c r="S39" s="6" t="s">
        <v>173</v>
      </c>
    </row>
    <row r="40" spans="9:19">
      <c r="I40" s="7">
        <v>1</v>
      </c>
      <c r="J40" s="7" t="s">
        <v>114</v>
      </c>
      <c r="L40" s="7">
        <v>9</v>
      </c>
      <c r="M40" s="7" t="s">
        <v>193</v>
      </c>
      <c r="O40" s="7">
        <v>1</v>
      </c>
      <c r="P40" s="7" t="s">
        <v>177</v>
      </c>
      <c r="R40" s="7">
        <v>1</v>
      </c>
      <c r="S40" s="7" t="s">
        <v>177</v>
      </c>
    </row>
    <row r="41" spans="9:19">
      <c r="I41" s="7">
        <v>2</v>
      </c>
      <c r="J41" s="7" t="s">
        <v>111</v>
      </c>
      <c r="L41" s="7">
        <v>10</v>
      </c>
      <c r="M41" s="7" t="s">
        <v>195</v>
      </c>
      <c r="O41" s="7">
        <v>2</v>
      </c>
      <c r="P41" s="7" t="s">
        <v>224</v>
      </c>
      <c r="R41" s="7">
        <v>2</v>
      </c>
      <c r="S41" s="7" t="s">
        <v>224</v>
      </c>
    </row>
    <row r="42" spans="9:19">
      <c r="I42" s="7">
        <v>3</v>
      </c>
      <c r="J42" s="7" t="s">
        <v>127</v>
      </c>
      <c r="L42" s="7">
        <v>11</v>
      </c>
      <c r="M42" s="7" t="s">
        <v>196</v>
      </c>
      <c r="O42" s="7">
        <v>3</v>
      </c>
      <c r="P42" s="7" t="s">
        <v>225</v>
      </c>
      <c r="R42" s="7">
        <v>3</v>
      </c>
      <c r="S42" s="7" t="s">
        <v>225</v>
      </c>
    </row>
    <row r="43" spans="9:19">
      <c r="I43" s="7">
        <v>4</v>
      </c>
      <c r="J43" s="7" t="s">
        <v>66</v>
      </c>
      <c r="L43" s="7">
        <v>12</v>
      </c>
      <c r="M43" s="7" t="s">
        <v>197</v>
      </c>
      <c r="O43" s="7">
        <v>4</v>
      </c>
      <c r="P43" s="7" t="s">
        <v>226</v>
      </c>
      <c r="R43" s="7">
        <v>4</v>
      </c>
      <c r="S43" s="7" t="s">
        <v>226</v>
      </c>
    </row>
    <row r="44" spans="9:19">
      <c r="L44" s="7">
        <v>13</v>
      </c>
      <c r="M44" s="7" t="s">
        <v>198</v>
      </c>
      <c r="O44" s="7">
        <v>5</v>
      </c>
      <c r="P44" s="7" t="s">
        <v>55</v>
      </c>
      <c r="R44" s="7">
        <v>5</v>
      </c>
      <c r="S44" s="7" t="s">
        <v>55</v>
      </c>
    </row>
    <row r="45" spans="9:19">
      <c r="I45" t="s">
        <v>227</v>
      </c>
      <c r="L45" s="7">
        <v>14</v>
      </c>
      <c r="M45" s="7" t="s">
        <v>200</v>
      </c>
    </row>
    <row r="46" spans="9:19">
      <c r="I46" s="6" t="s">
        <v>172</v>
      </c>
      <c r="J46" s="6" t="s">
        <v>173</v>
      </c>
      <c r="L46" s="7">
        <v>15</v>
      </c>
      <c r="M46" s="7" t="s">
        <v>202</v>
      </c>
    </row>
    <row r="47" spans="9:19">
      <c r="I47" s="7">
        <v>1</v>
      </c>
      <c r="J47" s="7" t="s">
        <v>177</v>
      </c>
      <c r="L47" s="7">
        <v>16</v>
      </c>
      <c r="M47" s="7" t="s">
        <v>204</v>
      </c>
      <c r="R47" t="s">
        <v>184</v>
      </c>
    </row>
    <row r="48" spans="9:19">
      <c r="I48" s="7">
        <v>2</v>
      </c>
      <c r="J48" s="7" t="s">
        <v>174</v>
      </c>
      <c r="L48" s="7">
        <v>17</v>
      </c>
      <c r="M48" s="7" t="s">
        <v>205</v>
      </c>
      <c r="R48" s="6" t="s">
        <v>172</v>
      </c>
      <c r="S48" s="6" t="s">
        <v>173</v>
      </c>
    </row>
    <row r="49" spans="9:19">
      <c r="I49" s="7">
        <v>3</v>
      </c>
      <c r="J49" s="7" t="s">
        <v>123</v>
      </c>
      <c r="L49" s="7">
        <v>18</v>
      </c>
      <c r="M49" s="7" t="s">
        <v>207</v>
      </c>
      <c r="R49" s="7">
        <v>1</v>
      </c>
      <c r="S49" s="7" t="s">
        <v>81</v>
      </c>
    </row>
    <row r="50" spans="9:19">
      <c r="I50" s="7">
        <v>4</v>
      </c>
      <c r="J50" s="7" t="s">
        <v>121</v>
      </c>
      <c r="L50" s="7">
        <v>19</v>
      </c>
      <c r="M50" s="7" t="s">
        <v>209</v>
      </c>
      <c r="R50" s="7">
        <v>2</v>
      </c>
      <c r="S50" s="7" t="s">
        <v>190</v>
      </c>
    </row>
    <row r="51" spans="9:19">
      <c r="I51" s="7">
        <v>5</v>
      </c>
      <c r="J51" s="7" t="s">
        <v>183</v>
      </c>
      <c r="L51" s="7">
        <v>20</v>
      </c>
      <c r="M51" s="7" t="s">
        <v>211</v>
      </c>
      <c r="R51" s="7">
        <v>3</v>
      </c>
      <c r="S51" s="7" t="s">
        <v>66</v>
      </c>
    </row>
    <row r="52" spans="9:19">
      <c r="I52" s="7">
        <v>6</v>
      </c>
      <c r="J52" s="7" t="s">
        <v>125</v>
      </c>
      <c r="L52" s="7">
        <v>21</v>
      </c>
      <c r="M52" s="7" t="s">
        <v>212</v>
      </c>
    </row>
    <row r="53" spans="9:19" ht="75">
      <c r="I53" s="7">
        <v>7</v>
      </c>
      <c r="J53" s="7" t="s">
        <v>187</v>
      </c>
      <c r="L53" s="7">
        <v>22</v>
      </c>
      <c r="M53" s="8" t="s">
        <v>214</v>
      </c>
    </row>
    <row r="54" spans="9:19" ht="30">
      <c r="I54" s="7">
        <v>8</v>
      </c>
      <c r="J54" s="7" t="s">
        <v>189</v>
      </c>
      <c r="L54" s="7">
        <v>23</v>
      </c>
      <c r="M54" s="8" t="s">
        <v>215</v>
      </c>
    </row>
    <row r="55" spans="9:19">
      <c r="I55" s="7">
        <v>9</v>
      </c>
      <c r="J55" s="7" t="s">
        <v>193</v>
      </c>
      <c r="L55" s="7">
        <v>24</v>
      </c>
      <c r="M55" s="8" t="s">
        <v>218</v>
      </c>
    </row>
    <row r="56" spans="9:19" ht="30">
      <c r="I56" s="7">
        <v>10</v>
      </c>
      <c r="J56" s="7" t="s">
        <v>195</v>
      </c>
      <c r="L56" s="7">
        <v>25</v>
      </c>
      <c r="M56" s="8" t="s">
        <v>219</v>
      </c>
    </row>
    <row r="57" spans="9:19">
      <c r="I57" s="7">
        <v>11</v>
      </c>
      <c r="J57" s="7" t="s">
        <v>196</v>
      </c>
      <c r="L57" s="7">
        <v>26</v>
      </c>
      <c r="M57" s="8" t="s">
        <v>220</v>
      </c>
    </row>
    <row r="58" spans="9:19">
      <c r="I58" s="7">
        <v>12</v>
      </c>
      <c r="J58" s="7" t="s">
        <v>197</v>
      </c>
      <c r="L58" s="7">
        <v>27</v>
      </c>
      <c r="M58" s="8" t="s">
        <v>221</v>
      </c>
    </row>
    <row r="59" spans="9:19">
      <c r="I59" s="7">
        <v>13</v>
      </c>
      <c r="J59" s="7" t="s">
        <v>198</v>
      </c>
      <c r="L59" s="7">
        <v>28</v>
      </c>
      <c r="M59" s="7" t="s">
        <v>66</v>
      </c>
    </row>
    <row r="60" spans="9:19">
      <c r="I60" s="7">
        <v>14</v>
      </c>
      <c r="J60" s="7" t="s">
        <v>200</v>
      </c>
    </row>
    <row r="61" spans="9:19">
      <c r="I61" s="7">
        <v>15</v>
      </c>
      <c r="J61" s="7" t="s">
        <v>202</v>
      </c>
    </row>
    <row r="62" spans="9:19">
      <c r="I62" s="7">
        <v>16</v>
      </c>
      <c r="J62" s="7" t="s">
        <v>204</v>
      </c>
      <c r="L62" t="s">
        <v>228</v>
      </c>
    </row>
    <row r="63" spans="9:19">
      <c r="I63" s="7">
        <v>17</v>
      </c>
      <c r="J63" s="7" t="s">
        <v>205</v>
      </c>
      <c r="L63" s="6" t="s">
        <v>172</v>
      </c>
      <c r="M63" s="6" t="s">
        <v>173</v>
      </c>
    </row>
    <row r="64" spans="9:19">
      <c r="I64" s="7">
        <v>18</v>
      </c>
      <c r="J64" s="7" t="s">
        <v>207</v>
      </c>
      <c r="L64" s="7">
        <v>1</v>
      </c>
      <c r="M64" s="7" t="s">
        <v>229</v>
      </c>
    </row>
    <row r="65" spans="9:13">
      <c r="I65" s="7">
        <v>19</v>
      </c>
      <c r="J65" s="7" t="s">
        <v>209</v>
      </c>
      <c r="L65" s="7">
        <v>2</v>
      </c>
      <c r="M65" s="7" t="s">
        <v>230</v>
      </c>
    </row>
    <row r="66" spans="9:13">
      <c r="I66" s="7">
        <v>20</v>
      </c>
      <c r="J66" s="7" t="s">
        <v>211</v>
      </c>
    </row>
    <row r="67" spans="9:13">
      <c r="I67" s="7">
        <v>21</v>
      </c>
      <c r="J67" s="7" t="s">
        <v>212</v>
      </c>
    </row>
    <row r="68" spans="9:13" ht="75">
      <c r="I68" s="7">
        <v>22</v>
      </c>
      <c r="J68" s="8" t="s">
        <v>214</v>
      </c>
      <c r="L68" t="s">
        <v>222</v>
      </c>
    </row>
    <row r="69" spans="9:13" ht="30">
      <c r="I69" s="7">
        <v>23</v>
      </c>
      <c r="J69" s="8" t="s">
        <v>215</v>
      </c>
      <c r="L69" s="6" t="s">
        <v>172</v>
      </c>
      <c r="M69" s="6" t="s">
        <v>173</v>
      </c>
    </row>
    <row r="70" spans="9:13">
      <c r="I70" s="7">
        <v>24</v>
      </c>
      <c r="J70" s="8" t="s">
        <v>218</v>
      </c>
      <c r="L70" s="7">
        <v>1</v>
      </c>
      <c r="M70" s="7" t="s">
        <v>114</v>
      </c>
    </row>
    <row r="71" spans="9:13" ht="30">
      <c r="I71" s="7">
        <v>25</v>
      </c>
      <c r="J71" s="8" t="s">
        <v>219</v>
      </c>
      <c r="L71" s="7">
        <v>2</v>
      </c>
      <c r="M71" s="7" t="s">
        <v>111</v>
      </c>
    </row>
    <row r="72" spans="9:13">
      <c r="I72" s="7">
        <v>26</v>
      </c>
      <c r="J72" s="8" t="s">
        <v>220</v>
      </c>
      <c r="L72" s="7">
        <v>3</v>
      </c>
      <c r="M72" s="7" t="s">
        <v>127</v>
      </c>
    </row>
    <row r="73" spans="9:13">
      <c r="I73" s="7">
        <v>27</v>
      </c>
      <c r="J73" s="8" t="s">
        <v>221</v>
      </c>
      <c r="L73" s="7">
        <v>4</v>
      </c>
      <c r="M73" s="7" t="s">
        <v>66</v>
      </c>
    </row>
    <row r="74" spans="9:13">
      <c r="I74" s="7">
        <v>28</v>
      </c>
      <c r="J74" s="7" t="s">
        <v>66</v>
      </c>
    </row>
    <row r="75" spans="9:13">
      <c r="L75" s="12" t="s">
        <v>231</v>
      </c>
      <c r="M75" s="12"/>
    </row>
    <row r="76" spans="9:13">
      <c r="I76" t="s">
        <v>232</v>
      </c>
      <c r="L76" s="13" t="s">
        <v>172</v>
      </c>
      <c r="M76" s="13" t="s">
        <v>173</v>
      </c>
    </row>
    <row r="77" spans="9:13">
      <c r="I77" s="6" t="s">
        <v>172</v>
      </c>
      <c r="J77" s="6" t="s">
        <v>173</v>
      </c>
      <c r="L77" s="14">
        <v>1</v>
      </c>
      <c r="M77" s="14" t="s">
        <v>233</v>
      </c>
    </row>
    <row r="78" spans="9:13">
      <c r="I78" s="7">
        <v>1</v>
      </c>
      <c r="J78" s="7" t="s">
        <v>234</v>
      </c>
      <c r="L78" s="14">
        <v>2</v>
      </c>
      <c r="M78" s="14" t="s">
        <v>235</v>
      </c>
    </row>
    <row r="79" spans="9:13">
      <c r="I79" s="7">
        <v>2</v>
      </c>
      <c r="J79" s="7" t="s">
        <v>236</v>
      </c>
      <c r="L79" s="14">
        <v>3</v>
      </c>
      <c r="M79" s="14" t="s">
        <v>237</v>
      </c>
    </row>
    <row r="80" spans="9:13">
      <c r="I80" s="7">
        <v>3</v>
      </c>
      <c r="J80" s="7" t="s">
        <v>238</v>
      </c>
      <c r="L80" s="14">
        <v>4</v>
      </c>
      <c r="M80" s="14" t="s">
        <v>239</v>
      </c>
    </row>
    <row r="81" spans="9:13">
      <c r="I81" s="7">
        <v>4</v>
      </c>
      <c r="J81" s="7" t="s">
        <v>240</v>
      </c>
      <c r="L81" s="14">
        <v>5</v>
      </c>
      <c r="M81" s="14" t="s">
        <v>241</v>
      </c>
    </row>
    <row r="82" spans="9:13">
      <c r="I82" s="7">
        <v>5</v>
      </c>
      <c r="J82" s="7" t="s">
        <v>242</v>
      </c>
    </row>
    <row r="83" spans="9:13">
      <c r="I83" s="7">
        <v>6</v>
      </c>
      <c r="J83" s="7" t="s">
        <v>243</v>
      </c>
    </row>
    <row r="84" spans="9:13">
      <c r="I84" s="7">
        <v>7</v>
      </c>
      <c r="J84" s="7" t="s">
        <v>66</v>
      </c>
    </row>
    <row r="86" spans="9:13">
      <c r="I86" t="s">
        <v>184</v>
      </c>
    </row>
    <row r="87" spans="9:13">
      <c r="I87" s="6" t="s">
        <v>172</v>
      </c>
      <c r="J87" s="6" t="s">
        <v>173</v>
      </c>
    </row>
    <row r="88" spans="9:13">
      <c r="I88" s="7">
        <v>1</v>
      </c>
      <c r="J88" s="7" t="s">
        <v>81</v>
      </c>
    </row>
    <row r="89" spans="9:13">
      <c r="I89" s="7">
        <v>2</v>
      </c>
      <c r="J89" s="7" t="s">
        <v>190</v>
      </c>
    </row>
    <row r="90" spans="9:13">
      <c r="I90" s="7">
        <v>3</v>
      </c>
      <c r="J90" s="7" t="s">
        <v>66</v>
      </c>
    </row>
    <row r="92" spans="9:13">
      <c r="I92" t="s">
        <v>244</v>
      </c>
    </row>
    <row r="93" spans="9:13">
      <c r="I93" s="6" t="s">
        <v>172</v>
      </c>
      <c r="J93" s="6" t="s">
        <v>173</v>
      </c>
    </row>
    <row r="94" spans="9:13">
      <c r="I94" s="7">
        <v>1</v>
      </c>
      <c r="J94" s="7" t="s">
        <v>81</v>
      </c>
    </row>
    <row r="95" spans="9:13">
      <c r="I95" s="7">
        <v>2</v>
      </c>
      <c r="J95" s="7" t="s">
        <v>245</v>
      </c>
    </row>
    <row r="96" spans="9:13">
      <c r="I96" s="7">
        <v>3</v>
      </c>
      <c r="J96" s="7" t="s">
        <v>116</v>
      </c>
    </row>
    <row r="97" spans="9:10">
      <c r="I97" s="7">
        <v>4</v>
      </c>
      <c r="J97" s="7" t="s">
        <v>66</v>
      </c>
    </row>
    <row r="99" spans="9:10">
      <c r="I99" t="s">
        <v>246</v>
      </c>
    </row>
    <row r="100" spans="9:10">
      <c r="I100" s="6" t="s">
        <v>172</v>
      </c>
      <c r="J100" s="6" t="s">
        <v>173</v>
      </c>
    </row>
    <row r="101" spans="9:10">
      <c r="I101" s="7">
        <v>1</v>
      </c>
      <c r="J101" s="7" t="s">
        <v>247</v>
      </c>
    </row>
    <row r="102" spans="9:10">
      <c r="I102" s="7">
        <v>2</v>
      </c>
      <c r="J102" s="7" t="s">
        <v>248</v>
      </c>
    </row>
    <row r="103" spans="9:10">
      <c r="I103" s="7">
        <v>3</v>
      </c>
      <c r="J103" s="7" t="s">
        <v>66</v>
      </c>
    </row>
  </sheetData>
  <phoneticPr fontId="7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c8eca4-1b0d-49d4-946b-d36af8e5ce92">
      <Terms xmlns="http://schemas.microsoft.com/office/infopath/2007/PartnerControls"/>
    </lcf76f155ced4ddcb4097134ff3c332f>
    <TaxCatchAll xmlns="288f7bbe-a672-4a50-95c5-7e3660125d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6DEFC507BA0944BA524F84BCE1B0C8D" ma:contentTypeVersion="11" ma:contentTypeDescription="新しいドキュメントを作成します。" ma:contentTypeScope="" ma:versionID="f5e5703164c4fb841e1412a8e563e900">
  <xsd:schema xmlns:xsd="http://www.w3.org/2001/XMLSchema" xmlns:xs="http://www.w3.org/2001/XMLSchema" xmlns:p="http://schemas.microsoft.com/office/2006/metadata/properties" xmlns:ns2="acc8eca4-1b0d-49d4-946b-d36af8e5ce92" xmlns:ns3="288f7bbe-a672-4a50-95c5-7e3660125d1e" targetNamespace="http://schemas.microsoft.com/office/2006/metadata/properties" ma:root="true" ma:fieldsID="5609e2000c2cad17de934eef20f3047f" ns2:_="" ns3:_="">
    <xsd:import namespace="acc8eca4-1b0d-49d4-946b-d36af8e5ce92"/>
    <xsd:import namespace="288f7bbe-a672-4a50-95c5-7e3660125d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c8eca4-1b0d-49d4-946b-d36af8e5ce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09e200c1-c3df-4184-adcd-0d89fc2ac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8f7bbe-a672-4a50-95c5-7e3660125d1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181d3cf-8356-42fb-b767-6eebcbfd39d9}" ma:internalName="TaxCatchAll" ma:showField="CatchAllData" ma:web="288f7bbe-a672-4a50-95c5-7e3660125d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8AC8B9-3D75-4165-9C7F-AAD6CA152E5E}">
  <ds:schemaRefs>
    <ds:schemaRef ds:uri="http://www.w3.org/XML/1998/namespace"/>
    <ds:schemaRef ds:uri="acc8eca4-1b0d-49d4-946b-d36af8e5ce92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288f7bbe-a672-4a50-95c5-7e3660125d1e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E628776-9C6C-47BF-9F24-BA9CEBADFD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c8eca4-1b0d-49d4-946b-d36af8e5ce92"/>
    <ds:schemaRef ds:uri="288f7bbe-a672-4a50-95c5-7e3660125d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2B5DAF-B0FE-4E6D-B5AA-A03AEACDA0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表紙</vt:lpstr>
      <vt:lpstr>変更履歴</vt:lpstr>
      <vt:lpstr>目次</vt:lpstr>
      <vt:lpstr>概要</vt:lpstr>
      <vt:lpstr>画面レイアウト</vt:lpstr>
      <vt:lpstr>画面項目定義</vt:lpstr>
      <vt:lpstr>Action定義</vt:lpstr>
      <vt:lpstr>Actionパラメータ</vt:lpstr>
      <vt:lpstr>SQL定義</vt:lpstr>
      <vt:lpstr>アップロード用テンプレート説明</vt:lpstr>
      <vt:lpstr>入力チェック</vt:lpstr>
      <vt:lpstr>リスト</vt:lpstr>
      <vt:lpstr>Actionパラメータ!Print_Area</vt:lpstr>
      <vt:lpstr>SQL定義!Print_Area</vt:lpstr>
      <vt:lpstr>アップロード用テンプレート説明!Print_Area</vt:lpstr>
      <vt:lpstr>入力チェック!Print_Area</vt:lpstr>
      <vt:lpstr>変更履歴!Print_Area</vt:lpstr>
      <vt:lpstr>概要!Print_Area</vt:lpstr>
      <vt:lpstr>画面レイアウト!Print_Area</vt:lpstr>
      <vt:lpstr>画面項目定義!Print_Area</vt:lpstr>
      <vt:lpstr>表紙!Print_Area</vt:lpstr>
      <vt:lpstr>Actionパラメータ!Print_Titles</vt:lpstr>
      <vt:lpstr>Action定義!Print_Titles</vt:lpstr>
    </vt:vector>
  </TitlesOfParts>
  <Manager/>
  <Company>SBI BITS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Hironobu Negishi</dc:creator>
  <cp:keywords/>
  <dc:description/>
  <cp:lastModifiedBy>Nguyen Hoang Vu</cp:lastModifiedBy>
  <cp:revision/>
  <dcterms:created xsi:type="dcterms:W3CDTF">2019-08-20T07:27:50Z</dcterms:created>
  <dcterms:modified xsi:type="dcterms:W3CDTF">2026-05-15T07:20:49Z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0x01010016DEFC507BA0944BA524F84BCE1B0C8D</vt:lpwstr>
  </property>
  <property fmtid="{D5CDD505-2E9C-101B-9397-08002B2CF9AE}" pid="3" name="MediaServiceImageTags">
    <vt:lpwstr/>
  </property>
</Properties>
</file>